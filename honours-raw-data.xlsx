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441f378e534509/Desktop/DEAKIN/Results/"/>
    </mc:Choice>
  </mc:AlternateContent>
  <xr:revisionPtr revIDLastSave="2183" documentId="8_{57DC8409-06DB-4BD2-869A-B8D7B19DD872}" xr6:coauthVersionLast="47" xr6:coauthVersionMax="47" xr10:uidLastSave="{2926EB54-437A-4DE1-9F23-420B7A1EC24B}"/>
  <bookViews>
    <workbookView xWindow="-98" yWindow="-98" windowWidth="20715" windowHeight="13155" firstSheet="4" activeTab="5" xr2:uid="{ACFDFCB3-C19A-416A-A5E9-8EDB7344AD63}"/>
  </bookViews>
  <sheets>
    <sheet name="Proposed fieldwork sites" sheetId="5" r:id="rId1"/>
    <sheet name="Raw boat data" sheetId="4" r:id="rId2"/>
    <sheet name="Drop camera results" sheetId="3" r:id="rId3"/>
    <sheet name="Plate config" sheetId="2" r:id="rId4"/>
    <sheet name="Text Results" sheetId="1" r:id="rId5"/>
    <sheet name="Test 2" sheetId="7" r:id="rId6"/>
    <sheet name="Plate 1" sheetId="8" r:id="rId7"/>
    <sheet name="Sheet2" sheetId="26" r:id="rId8"/>
    <sheet name="Sheet3" sheetId="27" r:id="rId9"/>
    <sheet name="Plate 2" sheetId="9" r:id="rId10"/>
    <sheet name="Plate 3" sheetId="10" r:id="rId11"/>
    <sheet name="Plate 4" sheetId="11" r:id="rId12"/>
    <sheet name="Plate 5" sheetId="12" r:id="rId13"/>
    <sheet name="Plate 6" sheetId="13" r:id="rId14"/>
    <sheet name="Master Data" sheetId="6" r:id="rId15"/>
    <sheet name="Sheet5" sheetId="29" r:id="rId16"/>
    <sheet name="Sheet4" sheetId="28" r:id="rId17"/>
    <sheet name="Sheet1" sheetId="25" r:id="rId18"/>
    <sheet name="Raw site data" sheetId="17" r:id="rId19"/>
    <sheet name="Statistical tests" sheetId="20" r:id="rId20"/>
    <sheet name="Contingency table" sheetId="16" r:id="rId21"/>
    <sheet name="Sea star detection analysis" sheetId="18" r:id="rId22"/>
    <sheet name="DEt3ection summary" sheetId="21" r:id="rId23"/>
    <sheet name="Detection agreement" sheetId="22" r:id="rId24"/>
    <sheet name="Environmental effects" sheetId="23" r:id="rId25"/>
    <sheet name="Correalation matrix" sheetId="24" r:id="rId26"/>
  </sheets>
  <definedNames>
    <definedName name="_xlnm._FilterDatabase" localSheetId="2" hidden="1">'Drop camera results'!$A$1:$O$151</definedName>
    <definedName name="_xlnm._FilterDatabase" localSheetId="14" hidden="1">'Master Data'!$A$1:$K$151</definedName>
    <definedName name="_xlnm._FilterDatabase" localSheetId="15" hidden="1">Sheet5!$A$2:$C$151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7" l="1"/>
  <c r="J8" i="7"/>
  <c r="J7" i="7"/>
  <c r="J6" i="7"/>
  <c r="D141" i="29"/>
  <c r="D129" i="29"/>
  <c r="D105" i="29"/>
  <c r="D96" i="29"/>
  <c r="D2" i="29"/>
  <c r="D151" i="29"/>
  <c r="D150" i="29"/>
  <c r="D149" i="29"/>
  <c r="D148" i="29"/>
  <c r="D147" i="29"/>
  <c r="D146" i="29"/>
  <c r="D145" i="29"/>
  <c r="D144" i="29"/>
  <c r="D143" i="29"/>
  <c r="D142" i="29"/>
  <c r="D140" i="29"/>
  <c r="D139" i="29"/>
  <c r="D138" i="29"/>
  <c r="D137" i="29"/>
  <c r="D136" i="29"/>
  <c r="D135" i="29"/>
  <c r="D134" i="29"/>
  <c r="D133" i="29"/>
  <c r="D132" i="29"/>
  <c r="D131" i="29"/>
  <c r="D130" i="29"/>
  <c r="D128" i="29"/>
  <c r="D127" i="29"/>
  <c r="D126" i="29"/>
  <c r="D125" i="29"/>
  <c r="D124" i="29"/>
  <c r="D123" i="29"/>
  <c r="D122" i="29"/>
  <c r="D121" i="29"/>
  <c r="D120" i="29"/>
  <c r="D119" i="29"/>
  <c r="D118" i="29"/>
  <c r="D117" i="29"/>
  <c r="D116" i="29"/>
  <c r="D115" i="29"/>
  <c r="D114" i="29"/>
  <c r="D113" i="29"/>
  <c r="D112" i="29"/>
  <c r="D111" i="29"/>
  <c r="D110" i="29"/>
  <c r="D109" i="29"/>
  <c r="D108" i="29"/>
  <c r="D107" i="29"/>
  <c r="D106" i="29"/>
  <c r="D104" i="29"/>
  <c r="D103" i="29"/>
  <c r="D102" i="29"/>
  <c r="D101" i="29"/>
  <c r="D100" i="29"/>
  <c r="D99" i="29"/>
  <c r="D98" i="29"/>
  <c r="D97" i="29"/>
  <c r="D95" i="29"/>
  <c r="D94" i="29"/>
  <c r="D93" i="29"/>
  <c r="D92" i="29"/>
  <c r="D91" i="29"/>
  <c r="D90" i="29"/>
  <c r="D89" i="29"/>
  <c r="D88" i="29"/>
  <c r="D87" i="29"/>
  <c r="D86" i="29"/>
  <c r="D85" i="29"/>
  <c r="D84" i="29"/>
  <c r="D83" i="29"/>
  <c r="D82" i="29"/>
  <c r="D81" i="29"/>
  <c r="D80" i="29"/>
  <c r="D79" i="29"/>
  <c r="D78" i="29"/>
  <c r="D77" i="29"/>
  <c r="D76" i="29"/>
  <c r="D75" i="29"/>
  <c r="D74" i="29"/>
  <c r="D73" i="29"/>
  <c r="D72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D5" i="29"/>
  <c r="D3" i="29"/>
  <c r="K132" i="6"/>
  <c r="K149" i="6"/>
  <c r="K145" i="6"/>
  <c r="K144" i="6"/>
  <c r="K143" i="6"/>
  <c r="K142" i="6"/>
  <c r="K141" i="6"/>
  <c r="K140" i="6"/>
  <c r="K139" i="6"/>
  <c r="K138" i="6"/>
  <c r="K137" i="6"/>
  <c r="K136" i="6"/>
  <c r="K135" i="6"/>
  <c r="K133" i="6"/>
  <c r="K131" i="6"/>
  <c r="K130" i="6"/>
  <c r="K129" i="6"/>
  <c r="K128" i="6"/>
  <c r="K126" i="6"/>
  <c r="K125" i="6"/>
  <c r="K124" i="6"/>
  <c r="K123" i="6"/>
  <c r="K121" i="6"/>
  <c r="K120" i="6"/>
  <c r="K119" i="6"/>
  <c r="K117" i="6"/>
  <c r="K115" i="6"/>
  <c r="K114" i="6"/>
  <c r="K113" i="6"/>
  <c r="K112" i="6"/>
  <c r="K109" i="6"/>
  <c r="K108" i="6"/>
  <c r="K107" i="6"/>
  <c r="K106" i="6"/>
  <c r="K105" i="6"/>
  <c r="K104" i="6"/>
  <c r="K102" i="6"/>
  <c r="K101" i="6"/>
  <c r="K100" i="6"/>
  <c r="K99" i="6"/>
  <c r="K97" i="6"/>
  <c r="K96" i="6"/>
  <c r="K94" i="6"/>
  <c r="K91" i="6"/>
  <c r="K80" i="6"/>
  <c r="K78" i="6"/>
  <c r="K76" i="6"/>
  <c r="K75" i="6"/>
  <c r="K72" i="6"/>
  <c r="K69" i="6"/>
  <c r="K66" i="6"/>
  <c r="K65" i="6"/>
  <c r="K64" i="6"/>
  <c r="K61" i="6"/>
  <c r="K59" i="6"/>
  <c r="K57" i="6"/>
  <c r="K54" i="6"/>
  <c r="K52" i="6"/>
  <c r="K48" i="6"/>
  <c r="K47" i="6"/>
  <c r="K46" i="6"/>
  <c r="K45" i="6"/>
  <c r="K43" i="6"/>
  <c r="K41" i="6"/>
  <c r="K40" i="6"/>
  <c r="K37" i="6"/>
  <c r="K36" i="6"/>
  <c r="K35" i="6"/>
  <c r="K33" i="6"/>
  <c r="K31" i="6"/>
  <c r="K27" i="6"/>
  <c r="K26" i="6"/>
  <c r="K21" i="6"/>
  <c r="K20" i="6"/>
  <c r="K19" i="6"/>
  <c r="K16" i="6"/>
  <c r="K8" i="6"/>
  <c r="K5" i="6"/>
  <c r="K7" i="6"/>
  <c r="K3" i="6"/>
  <c r="K6" i="6"/>
  <c r="K9" i="6"/>
  <c r="K10" i="6"/>
  <c r="K11" i="6"/>
  <c r="K12" i="6"/>
  <c r="K13" i="6"/>
  <c r="K14" i="6"/>
  <c r="K15" i="6"/>
  <c r="K17" i="6"/>
  <c r="K18" i="6"/>
  <c r="K22" i="6"/>
  <c r="K23" i="6"/>
  <c r="K24" i="6"/>
  <c r="K25" i="6"/>
  <c r="K28" i="6"/>
  <c r="K29" i="6"/>
  <c r="K30" i="6"/>
  <c r="K32" i="6"/>
  <c r="K34" i="6"/>
  <c r="K38" i="6"/>
  <c r="K39" i="6"/>
  <c r="K42" i="6"/>
  <c r="K44" i="6"/>
  <c r="K49" i="6"/>
  <c r="K50" i="6"/>
  <c r="K51" i="6"/>
  <c r="K53" i="6"/>
  <c r="K55" i="6"/>
  <c r="K56" i="6"/>
  <c r="K58" i="6"/>
  <c r="K60" i="6"/>
  <c r="K62" i="6"/>
  <c r="K63" i="6"/>
  <c r="K67" i="6"/>
  <c r="K68" i="6"/>
  <c r="K70" i="6"/>
  <c r="K71" i="6"/>
  <c r="K73" i="6"/>
  <c r="K74" i="6"/>
  <c r="K77" i="6"/>
  <c r="K79" i="6"/>
  <c r="K81" i="6"/>
  <c r="K82" i="6"/>
  <c r="K83" i="6"/>
  <c r="K84" i="6"/>
  <c r="K85" i="6"/>
  <c r="K86" i="6"/>
  <c r="K87" i="6"/>
  <c r="K88" i="6"/>
  <c r="K89" i="6"/>
  <c r="K90" i="6"/>
  <c r="K92" i="6"/>
  <c r="K93" i="6"/>
  <c r="K95" i="6"/>
  <c r="K98" i="6"/>
  <c r="K103" i="6"/>
  <c r="K110" i="6"/>
  <c r="K111" i="6"/>
  <c r="K116" i="6"/>
  <c r="K118" i="6"/>
  <c r="K122" i="6"/>
  <c r="K127" i="6"/>
  <c r="K134" i="6"/>
  <c r="K146" i="6"/>
  <c r="K147" i="6"/>
  <c r="K148" i="6"/>
  <c r="K150" i="6"/>
  <c r="K151" i="6"/>
  <c r="I151" i="25"/>
  <c r="I151" i="25" a="1"/>
  <c r="O2" i="6"/>
  <c r="K2" i="6"/>
  <c r="K2" i="6" a="1"/>
  <c r="N2" i="6"/>
  <c r="P2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<sst xmlns="http://schemas.openxmlformats.org/spreadsheetml/2006/main" count="12231" uniqueCount="1396">
  <si>
    <t>Well Type</t>
  </si>
  <si>
    <t>Well Name</t>
  </si>
  <si>
    <t>Cq (∆R)</t>
  </si>
  <si>
    <t>Quantity (copies)</t>
  </si>
  <si>
    <t>R² (∆R)</t>
  </si>
  <si>
    <t>Slope (∆R)</t>
  </si>
  <si>
    <t>Efficiency (%)</t>
  </si>
  <si>
    <t xml:space="preserve">NTC      </t>
  </si>
  <si>
    <t xml:space="preserve">---      </t>
  </si>
  <si>
    <t xml:space="preserve">No Cq  </t>
  </si>
  <si>
    <t xml:space="preserve">No Cq            </t>
  </si>
  <si>
    <t xml:space="preserve">Standard </t>
  </si>
  <si>
    <t xml:space="preserve">10^1     </t>
  </si>
  <si>
    <t xml:space="preserve">10^4     </t>
  </si>
  <si>
    <t xml:space="preserve">10^7     </t>
  </si>
  <si>
    <t xml:space="preserve">Unknown  </t>
  </si>
  <si>
    <t xml:space="preserve">10^2     </t>
  </si>
  <si>
    <t xml:space="preserve">10^5     </t>
  </si>
  <si>
    <t xml:space="preserve">MOR040   </t>
  </si>
  <si>
    <t xml:space="preserve">10^0     </t>
  </si>
  <si>
    <t xml:space="preserve">10^8     </t>
  </si>
  <si>
    <t xml:space="preserve">10^3     </t>
  </si>
  <si>
    <t xml:space="preserve">10^6     </t>
  </si>
  <si>
    <t xml:space="preserve">MOR050   </t>
  </si>
  <si>
    <t>Experiment 1 (Test 2)</t>
  </si>
  <si>
    <t>Dye</t>
  </si>
  <si>
    <t>Target</t>
  </si>
  <si>
    <t>Replicate</t>
  </si>
  <si>
    <t xml:space="preserve">Threshold (∆R)  </t>
  </si>
  <si>
    <t xml:space="preserve">Quantity (nanograms)   </t>
  </si>
  <si>
    <t xml:space="preserve">R² (∆R)                </t>
  </si>
  <si>
    <t xml:space="preserve">Slope (∆R)             </t>
  </si>
  <si>
    <t xml:space="preserve">Efficiency (%)         </t>
  </si>
  <si>
    <t>Cq Avg. Treated Ind. (∆R)</t>
  </si>
  <si>
    <t>Tm Product 1 (-R'(T))</t>
  </si>
  <si>
    <t>FAM</t>
  </si>
  <si>
    <t xml:space="preserve">FAM   </t>
  </si>
  <si>
    <t>&lt;2 Unique FAM Standards</t>
  </si>
  <si>
    <t>No Cq for FAM Standards</t>
  </si>
  <si>
    <t xml:space="preserve">No Cq                    </t>
  </si>
  <si>
    <t xml:space="preserve">No Tm                </t>
  </si>
  <si>
    <t xml:space="preserve">STD 2    </t>
  </si>
  <si>
    <t xml:space="preserve">N/A                    </t>
  </si>
  <si>
    <t xml:space="preserve">STD 1    </t>
  </si>
  <si>
    <t xml:space="preserve">Experiment 2 </t>
  </si>
  <si>
    <t>Run 1</t>
  </si>
  <si>
    <t>Experiment 3</t>
  </si>
  <si>
    <t>Run 2</t>
  </si>
  <si>
    <t>Well</t>
  </si>
  <si>
    <t xml:space="preserve">A1  </t>
  </si>
  <si>
    <t xml:space="preserve">A2  </t>
  </si>
  <si>
    <t xml:space="preserve">A3  </t>
  </si>
  <si>
    <t xml:space="preserve">A4  </t>
  </si>
  <si>
    <t xml:space="preserve">A5  </t>
  </si>
  <si>
    <t xml:space="preserve">A6  </t>
  </si>
  <si>
    <t xml:space="preserve">A7  </t>
  </si>
  <si>
    <t xml:space="preserve">A8  </t>
  </si>
  <si>
    <t xml:space="preserve">A9  </t>
  </si>
  <si>
    <t xml:space="preserve">A10 </t>
  </si>
  <si>
    <t xml:space="preserve">A11 </t>
  </si>
  <si>
    <t xml:space="preserve">A12 </t>
  </si>
  <si>
    <t xml:space="preserve">B1  </t>
  </si>
  <si>
    <t xml:space="preserve">B2  </t>
  </si>
  <si>
    <t xml:space="preserve">B3  </t>
  </si>
  <si>
    <t xml:space="preserve">B4  </t>
  </si>
  <si>
    <t xml:space="preserve">B5  </t>
  </si>
  <si>
    <t xml:space="preserve">B6  </t>
  </si>
  <si>
    <t xml:space="preserve">B7  </t>
  </si>
  <si>
    <t xml:space="preserve">B8  </t>
  </si>
  <si>
    <t xml:space="preserve">B9  </t>
  </si>
  <si>
    <t xml:space="preserve">B10 </t>
  </si>
  <si>
    <t xml:space="preserve">B11 </t>
  </si>
  <si>
    <t xml:space="preserve">B12 </t>
  </si>
  <si>
    <t xml:space="preserve">C1  </t>
  </si>
  <si>
    <t xml:space="preserve">C2  </t>
  </si>
  <si>
    <t xml:space="preserve">C3  </t>
  </si>
  <si>
    <t xml:space="preserve">C4  </t>
  </si>
  <si>
    <t xml:space="preserve">C5  </t>
  </si>
  <si>
    <t xml:space="preserve">C6  </t>
  </si>
  <si>
    <t xml:space="preserve">C7  </t>
  </si>
  <si>
    <t xml:space="preserve">C8  </t>
  </si>
  <si>
    <t xml:space="preserve">C9  </t>
  </si>
  <si>
    <t xml:space="preserve">C10 </t>
  </si>
  <si>
    <t xml:space="preserve">C11 </t>
  </si>
  <si>
    <t xml:space="preserve">C12 </t>
  </si>
  <si>
    <t xml:space="preserve">D1  </t>
  </si>
  <si>
    <t xml:space="preserve">D2  </t>
  </si>
  <si>
    <t xml:space="preserve">D3  </t>
  </si>
  <si>
    <t xml:space="preserve">D4  </t>
  </si>
  <si>
    <t xml:space="preserve">D5  </t>
  </si>
  <si>
    <t xml:space="preserve">D6  </t>
  </si>
  <si>
    <t xml:space="preserve">D7  </t>
  </si>
  <si>
    <t xml:space="preserve">D8  </t>
  </si>
  <si>
    <t xml:space="preserve">D9  </t>
  </si>
  <si>
    <t xml:space="preserve">D10 </t>
  </si>
  <si>
    <t xml:space="preserve">D11 </t>
  </si>
  <si>
    <t xml:space="preserve">D12 </t>
  </si>
  <si>
    <t xml:space="preserve">E1  </t>
  </si>
  <si>
    <t xml:space="preserve">E2  </t>
  </si>
  <si>
    <t xml:space="preserve">E3  </t>
  </si>
  <si>
    <t xml:space="preserve">E4  </t>
  </si>
  <si>
    <t xml:space="preserve">E5  </t>
  </si>
  <si>
    <t xml:space="preserve">E6  </t>
  </si>
  <si>
    <t xml:space="preserve">E7  </t>
  </si>
  <si>
    <t xml:space="preserve">E8  </t>
  </si>
  <si>
    <t xml:space="preserve">E9  </t>
  </si>
  <si>
    <t xml:space="preserve">E10 </t>
  </si>
  <si>
    <t xml:space="preserve">E11 </t>
  </si>
  <si>
    <t xml:space="preserve">E12 </t>
  </si>
  <si>
    <t xml:space="preserve">F1  </t>
  </si>
  <si>
    <t xml:space="preserve">F2  </t>
  </si>
  <si>
    <t xml:space="preserve">F3  </t>
  </si>
  <si>
    <t xml:space="preserve">F4  </t>
  </si>
  <si>
    <t xml:space="preserve">F5  </t>
  </si>
  <si>
    <t xml:space="preserve">F6  </t>
  </si>
  <si>
    <t xml:space="preserve">F7  </t>
  </si>
  <si>
    <t xml:space="preserve">F8  </t>
  </si>
  <si>
    <t xml:space="preserve">F9  </t>
  </si>
  <si>
    <t xml:space="preserve">F10 </t>
  </si>
  <si>
    <t xml:space="preserve">F11 </t>
  </si>
  <si>
    <t xml:space="preserve">F12 </t>
  </si>
  <si>
    <t xml:space="preserve">G1  </t>
  </si>
  <si>
    <t xml:space="preserve">G2  </t>
  </si>
  <si>
    <t xml:space="preserve">G3  </t>
  </si>
  <si>
    <t xml:space="preserve">G4  </t>
  </si>
  <si>
    <t xml:space="preserve">G5  </t>
  </si>
  <si>
    <t xml:space="preserve">G6  </t>
  </si>
  <si>
    <t xml:space="preserve">G7  </t>
  </si>
  <si>
    <t xml:space="preserve">G8  </t>
  </si>
  <si>
    <t xml:space="preserve">G9  </t>
  </si>
  <si>
    <t xml:space="preserve">G10 </t>
  </si>
  <si>
    <t xml:space="preserve">G11 </t>
  </si>
  <si>
    <t xml:space="preserve">G12 </t>
  </si>
  <si>
    <t xml:space="preserve">H1  </t>
  </si>
  <si>
    <t xml:space="preserve">H2  </t>
  </si>
  <si>
    <t xml:space="preserve">H3  </t>
  </si>
  <si>
    <t xml:space="preserve">H4  </t>
  </si>
  <si>
    <t xml:space="preserve">H5  </t>
  </si>
  <si>
    <t xml:space="preserve">H6  </t>
  </si>
  <si>
    <t xml:space="preserve">H7  </t>
  </si>
  <si>
    <t xml:space="preserve">H8  </t>
  </si>
  <si>
    <t xml:space="preserve">H9  </t>
  </si>
  <si>
    <t xml:space="preserve">H10 </t>
  </si>
  <si>
    <t xml:space="preserve">H11 </t>
  </si>
  <si>
    <t xml:space="preserve">H12 </t>
  </si>
  <si>
    <t>Experiment 4</t>
  </si>
  <si>
    <t>Run 3</t>
  </si>
  <si>
    <t xml:space="preserve">No Cq                  </t>
  </si>
  <si>
    <t>Experiment 5</t>
  </si>
  <si>
    <t>Run 4</t>
  </si>
  <si>
    <t>Quantity Avg. (nanograms)</t>
  </si>
  <si>
    <t xml:space="preserve">N/A                      </t>
  </si>
  <si>
    <t>Run 5</t>
  </si>
  <si>
    <t>Experiment 6</t>
  </si>
  <si>
    <t>Run 6</t>
  </si>
  <si>
    <t>Experiment 7</t>
  </si>
  <si>
    <t>NTC</t>
  </si>
  <si>
    <t>MOR030</t>
  </si>
  <si>
    <t>RYE029</t>
  </si>
  <si>
    <t>RYE019</t>
  </si>
  <si>
    <t>STK030</t>
  </si>
  <si>
    <t>RYE031</t>
  </si>
  <si>
    <t>STK021</t>
  </si>
  <si>
    <t>STK008</t>
  </si>
  <si>
    <t>MOR041</t>
  </si>
  <si>
    <t>RYE033</t>
  </si>
  <si>
    <t>MOR019</t>
  </si>
  <si>
    <t>STK017</t>
  </si>
  <si>
    <t>10^0</t>
  </si>
  <si>
    <t>RYE039</t>
  </si>
  <si>
    <t>RYE037</t>
  </si>
  <si>
    <t>RYE026</t>
  </si>
  <si>
    <t>STK004</t>
  </si>
  <si>
    <t xml:space="preserve"> </t>
  </si>
  <si>
    <t>RYE007</t>
  </si>
  <si>
    <t>MOR009</t>
  </si>
  <si>
    <t>STK029</t>
  </si>
  <si>
    <t>RYE021</t>
  </si>
  <si>
    <t>RYE009</t>
  </si>
  <si>
    <t>STK032</t>
  </si>
  <si>
    <t>STK045</t>
  </si>
  <si>
    <t>10^5</t>
  </si>
  <si>
    <t>RYE016</t>
  </si>
  <si>
    <t>STK015</t>
  </si>
  <si>
    <t>RYE047</t>
  </si>
  <si>
    <t>STK039</t>
  </si>
  <si>
    <t>RYE035</t>
  </si>
  <si>
    <t>STK024</t>
  </si>
  <si>
    <t>RYE049</t>
  </si>
  <si>
    <t>PLATE #1</t>
  </si>
  <si>
    <t>MOR006</t>
  </si>
  <si>
    <t>MOR040</t>
  </si>
  <si>
    <t>RYE030</t>
  </si>
  <si>
    <t>MOR046</t>
  </si>
  <si>
    <t>MOR029</t>
  </si>
  <si>
    <t>RYE022</t>
  </si>
  <si>
    <t>STK023</t>
  </si>
  <si>
    <t>STK033</t>
  </si>
  <si>
    <t>RYE038</t>
  </si>
  <si>
    <t>MOR043</t>
  </si>
  <si>
    <t>MOR049</t>
  </si>
  <si>
    <t>STK031</t>
  </si>
  <si>
    <t>MOR050</t>
  </si>
  <si>
    <t>MOR013</t>
  </si>
  <si>
    <t>RYE011</t>
  </si>
  <si>
    <t>STK044</t>
  </si>
  <si>
    <t>RYE006</t>
  </si>
  <si>
    <t>MOR008</t>
  </si>
  <si>
    <t>STK025</t>
  </si>
  <si>
    <t>STK010</t>
  </si>
  <si>
    <t>RYE004</t>
  </si>
  <si>
    <t>RYE027</t>
  </si>
  <si>
    <t>MOR011</t>
  </si>
  <si>
    <t>MOR038</t>
  </si>
  <si>
    <t>RYE005</t>
  </si>
  <si>
    <t>RYE034</t>
  </si>
  <si>
    <t>STK042</t>
  </si>
  <si>
    <t>STK016</t>
  </si>
  <si>
    <t>STK041</t>
  </si>
  <si>
    <t>PLATE #2</t>
  </si>
  <si>
    <t>RYE020</t>
  </si>
  <si>
    <t>RYE018</t>
  </si>
  <si>
    <t>MOR042</t>
  </si>
  <si>
    <t>RYE012</t>
  </si>
  <si>
    <t>MOR033</t>
  </si>
  <si>
    <t>RYE024</t>
  </si>
  <si>
    <t>STK020</t>
  </si>
  <si>
    <t>RYE023</t>
  </si>
  <si>
    <t>STK026</t>
  </si>
  <si>
    <t>MOR025</t>
  </si>
  <si>
    <t>MOR022</t>
  </si>
  <si>
    <t>MOR039</t>
  </si>
  <si>
    <t>MOR045</t>
  </si>
  <si>
    <t>MOR023</t>
  </si>
  <si>
    <t>MOR014</t>
  </si>
  <si>
    <t>RYE036</t>
  </si>
  <si>
    <t>STK009</t>
  </si>
  <si>
    <t>STK049</t>
  </si>
  <si>
    <t>MOR027</t>
  </si>
  <si>
    <t>RYE001</t>
  </si>
  <si>
    <t>RYE048</t>
  </si>
  <si>
    <t>STK028</t>
  </si>
  <si>
    <t>STK005</t>
  </si>
  <si>
    <t>MOR047</t>
  </si>
  <si>
    <t>STK034</t>
  </si>
  <si>
    <t>MOR031</t>
  </si>
  <si>
    <t>MOR032</t>
  </si>
  <si>
    <t>STK002</t>
  </si>
  <si>
    <t>MOR004</t>
  </si>
  <si>
    <t>PLATE #3</t>
  </si>
  <si>
    <t>RYE041</t>
  </si>
  <si>
    <t>RYE025</t>
  </si>
  <si>
    <t>MOR007</t>
  </si>
  <si>
    <t>STK027</t>
  </si>
  <si>
    <t>STK047</t>
  </si>
  <si>
    <t>RYE042</t>
  </si>
  <si>
    <t>MOR021</t>
  </si>
  <si>
    <t>RYE002</t>
  </si>
  <si>
    <t>RYE015</t>
  </si>
  <si>
    <t>MOR003</t>
  </si>
  <si>
    <t>STK035</t>
  </si>
  <si>
    <t>STK037</t>
  </si>
  <si>
    <t>STK019</t>
  </si>
  <si>
    <t>STK007</t>
  </si>
  <si>
    <t>STK011</t>
  </si>
  <si>
    <t>RYE032</t>
  </si>
  <si>
    <t>RYER046</t>
  </si>
  <si>
    <t>STK003</t>
  </si>
  <si>
    <t>STK013</t>
  </si>
  <si>
    <t>RYE040</t>
  </si>
  <si>
    <t>MOR015</t>
  </si>
  <si>
    <t>STK036</t>
  </si>
  <si>
    <t>STK012</t>
  </si>
  <si>
    <t>MOR016</t>
  </si>
  <si>
    <t>STK014</t>
  </si>
  <si>
    <t>MOR010</t>
  </si>
  <si>
    <t>MOR044</t>
  </si>
  <si>
    <t>RYE013</t>
  </si>
  <si>
    <t>RYE044</t>
  </si>
  <si>
    <t>PLATE #4</t>
  </si>
  <si>
    <t>STK038</t>
  </si>
  <si>
    <t>RYE050</t>
  </si>
  <si>
    <t>RYE045</t>
  </si>
  <si>
    <t>MOR035</t>
  </si>
  <si>
    <t>STK050</t>
  </si>
  <si>
    <t>STK043</t>
  </si>
  <si>
    <t>STK048</t>
  </si>
  <si>
    <t>MOR017</t>
  </si>
  <si>
    <t>RYE017</t>
  </si>
  <si>
    <t>MOR012</t>
  </si>
  <si>
    <t>MOR034</t>
  </si>
  <si>
    <t>STK046</t>
  </si>
  <si>
    <t>MOR020</t>
  </si>
  <si>
    <t>STK006</t>
  </si>
  <si>
    <t>RYE014</t>
  </si>
  <si>
    <t>STK022</t>
  </si>
  <si>
    <t>STK040</t>
  </si>
  <si>
    <t>MOR001</t>
  </si>
  <si>
    <t>STK018</t>
  </si>
  <si>
    <t>RYE043</t>
  </si>
  <si>
    <t>MOR005</t>
  </si>
  <si>
    <t>MOR028</t>
  </si>
  <si>
    <t>RYE008</t>
  </si>
  <si>
    <t>MOR002</t>
  </si>
  <si>
    <t>RYE010</t>
  </si>
  <si>
    <t>MOR036</t>
  </si>
  <si>
    <t>MOR037</t>
  </si>
  <si>
    <t>MOR018</t>
  </si>
  <si>
    <t>MOR048</t>
  </si>
  <si>
    <t>PLATE #5</t>
  </si>
  <si>
    <t>STK001</t>
  </si>
  <si>
    <t>RYE028</t>
  </si>
  <si>
    <t>RYE003</t>
  </si>
  <si>
    <t>MOR024</t>
  </si>
  <si>
    <t>MOR026</t>
  </si>
  <si>
    <t>PLATE #6</t>
  </si>
  <si>
    <t>10^7</t>
  </si>
  <si>
    <t>10^2</t>
  </si>
  <si>
    <t>10^8</t>
  </si>
  <si>
    <t>10^</t>
  </si>
  <si>
    <t>10^6</t>
  </si>
  <si>
    <t>10^1</t>
  </si>
  <si>
    <t>10^4</t>
  </si>
  <si>
    <t>TEST #2</t>
  </si>
  <si>
    <t>TEST #1</t>
  </si>
  <si>
    <t>RYE</t>
  </si>
  <si>
    <t>Mordialloc</t>
  </si>
  <si>
    <t>A</t>
  </si>
  <si>
    <t>Fine sand</t>
  </si>
  <si>
    <t>Prorifera sp, Seagrass, bivalve sp, sea urchin</t>
  </si>
  <si>
    <t>Rocks</t>
  </si>
  <si>
    <t>several seaweead, sponges, barnacles</t>
  </si>
  <si>
    <t>Sand</t>
  </si>
  <si>
    <t>tube worm, seaweed, bivalves</t>
  </si>
  <si>
    <t xml:space="preserve">Profifera sp, scallop, sea weed, bivalve sp, </t>
  </si>
  <si>
    <t xml:space="preserve">A </t>
  </si>
  <si>
    <t>Coarse sand</t>
  </si>
  <si>
    <t>mussel, shell fragments</t>
  </si>
  <si>
    <t>seaweed sp, shell</t>
  </si>
  <si>
    <t xml:space="preserve">Seagrass, sea weed, </t>
  </si>
  <si>
    <t>Nothing</t>
  </si>
  <si>
    <t>Seagrass, seaweed, fiddler ray</t>
  </si>
  <si>
    <t>Sandworms?</t>
  </si>
  <si>
    <t>Seagrass, seaweed, fish bones, bivalve shells</t>
  </si>
  <si>
    <t>Heavy shell litter</t>
  </si>
  <si>
    <t>Seagrass, sea weed, shell fragments</t>
  </si>
  <si>
    <t>seaweed sp, shell, sandworm</t>
  </si>
  <si>
    <t xml:space="preserve">Sandworm  </t>
  </si>
  <si>
    <t>sponges ascidians</t>
  </si>
  <si>
    <t>Seagrass, sea weed, scallop, sea urchins</t>
  </si>
  <si>
    <t>coarse sand</t>
  </si>
  <si>
    <t>Shell fragments</t>
  </si>
  <si>
    <t>data missing</t>
  </si>
  <si>
    <t>Seagrass, sea weed, shell fragments Prorifera</t>
  </si>
  <si>
    <t>Seagrass, sea weed, bivalves, Prorifera sp, moon snail</t>
  </si>
  <si>
    <t>Shell fragments, sea weeds</t>
  </si>
  <si>
    <t>Seagrass, sea weed, shell fragments Prorifera sp, ascidian</t>
  </si>
  <si>
    <t>seaweed sp, very shelly</t>
  </si>
  <si>
    <t xml:space="preserve">Seagrass, sea weed, bivalve sp, shell stacks, </t>
  </si>
  <si>
    <t xml:space="preserve">P </t>
  </si>
  <si>
    <t>seaweed sp, shell, 1 NPS on way up</t>
  </si>
  <si>
    <t xml:space="preserve">Sea weed, prorifera sp, shell fragments, </t>
  </si>
  <si>
    <t>Prorifera sp, shell fragments, sea urchin</t>
  </si>
  <si>
    <t>Sea weed, prorifera sp, shell fragments, abalone</t>
  </si>
  <si>
    <t>seaweed sp, shell, 1 NPS on way down</t>
  </si>
  <si>
    <t>Sea weed, ascidian</t>
  </si>
  <si>
    <t>Seagrass Seaweed</t>
  </si>
  <si>
    <t>Seagrass Seaweed, prorifera sp, bivalve sp</t>
  </si>
  <si>
    <t>ascidian shell fragments, sea weed</t>
  </si>
  <si>
    <t>Seaweed, small fish, ascidian shell fragments</t>
  </si>
  <si>
    <t>shell fragments ascidian sponge seaweeds</t>
  </si>
  <si>
    <t>Seafrass, seaweed, bivalve fragments</t>
  </si>
  <si>
    <t>Seagrass Seaweed, ascidian</t>
  </si>
  <si>
    <t>Heavy shell litter sandworm</t>
  </si>
  <si>
    <t>Seagrass Seaweed, ascidian, shell fragments</t>
  </si>
  <si>
    <t>Seagrass, seaweed</t>
  </si>
  <si>
    <t>Seagrass, seaweed, shell fragments</t>
  </si>
  <si>
    <t>Heavy shell litter seasweed, ascidian</t>
  </si>
  <si>
    <t>15-18 NPS shell littler sea weed</t>
  </si>
  <si>
    <t>NO result</t>
  </si>
  <si>
    <t>error in camera operation</t>
  </si>
  <si>
    <t>Shell litter</t>
  </si>
  <si>
    <t>Seasquirts, seaweed</t>
  </si>
  <si>
    <t>P</t>
  </si>
  <si>
    <t>Apprx 60 NPS, shell litter</t>
  </si>
  <si>
    <t>seaweed sp, shell, ascidian sp</t>
  </si>
  <si>
    <t xml:space="preserve">Seagrass, seaweed, sponges, </t>
  </si>
  <si>
    <t>RYE046</t>
  </si>
  <si>
    <t>seaweed sp, shell, sandworm, 1 NPS on way up</t>
  </si>
  <si>
    <t>shell litter seaweed seagrss</t>
  </si>
  <si>
    <t xml:space="preserve">Shell litter seaweed   </t>
  </si>
  <si>
    <t>time</t>
  </si>
  <si>
    <t>name</t>
  </si>
  <si>
    <t>sym</t>
  </si>
  <si>
    <t>gpxx_Waypo</t>
  </si>
  <si>
    <t>lat</t>
  </si>
  <si>
    <t>lon</t>
  </si>
  <si>
    <t>Flag, Red</t>
  </si>
  <si>
    <t>&lt;gpxx:Temperature&gt;17.70&lt;/gpxx:Temperature&gt;                &lt;gpxx:Depth&gt;7.61&lt;/gpxx:Depth&gt;                &lt;gpxx:DisplayMode&gt;SymbolAndName&lt;/gpxx:DisplayMode&gt;</t>
  </si>
  <si>
    <t>&lt;gpxx:Temperature&gt;17.71&lt;/gpxx:Temperature&gt;                &lt;gpxx:Depth&gt;8.94&lt;/gpxx:Depth&gt;                &lt;gpxx:DisplayMode&gt;SymbolAndName&lt;/gpxx:DisplayMode&gt;</t>
  </si>
  <si>
    <t>&lt;gpxx:Temperature&gt;17.73&lt;/gpxx:Temperature&gt;                &lt;gpxx:Depth&gt;12.88&lt;/gpxx:Depth&gt;                &lt;gpxx:DisplayMode&gt;SymbolAndName&lt;/gpxx:DisplayMode&gt;</t>
  </si>
  <si>
    <t>&lt;gpxx:Temperature&gt;17.71&lt;/gpxx:Temperature&gt;                &lt;gpxx:Depth&gt;13.05&lt;/gpxx:Depth&gt;                &lt;gpxx:DisplayMode&gt;SymbolAndName&lt;/gpxx:DisplayMode&gt;</t>
  </si>
  <si>
    <t>&lt;gpxx:Temperature&gt;17.74&lt;/gpxx:Temperature&gt;                &lt;gpxx:Depth&gt;13.26&lt;/gpxx:Depth&gt;                &lt;gpxx:DisplayMode&gt;SymbolAndName&lt;/gpxx:DisplayMode&gt;</t>
  </si>
  <si>
    <t>&lt;gpxx:Temperature&gt;17.74&lt;/gpxx:Temperature&gt;                &lt;gpxx:Depth&gt;12.76&lt;/gpxx:Depth&gt;                &lt;gpxx:DisplayMode&gt;SymbolAndName&lt;/gpxx:DisplayMode&gt;</t>
  </si>
  <si>
    <t>&lt;gpxx:Temperature&gt;17.75&lt;/gpxx:Temperature&gt;                &lt;gpxx:Depth&gt;12.57&lt;/gpxx:Depth&gt;                &lt;gpxx:DisplayMode&gt;SymbolAndName&lt;/gpxx:DisplayMode&gt;</t>
  </si>
  <si>
    <t>&lt;gpxx:Temperature&gt;17.75&lt;/gpxx:Temperature&gt;                &lt;gpxx:Depth&gt;12.67&lt;/gpxx:Depth&gt;                &lt;gpxx:DisplayMode&gt;SymbolAndName&lt;/gpxx:DisplayMode&gt;</t>
  </si>
  <si>
    <t>&lt;gpxx:Temperature&gt;17.74&lt;/gpxx:Temperature&gt;                &lt;gpxx:Depth&gt;12.52&lt;/gpxx:Depth&gt;                &lt;gpxx:DisplayMode&gt;SymbolAndName&lt;/gpxx:DisplayMode&gt;</t>
  </si>
  <si>
    <t>&lt;gpxx:DisplayMode&gt;SymbolAndName&lt;/gpxx:DisplayMode&gt;</t>
  </si>
  <si>
    <t>&lt;gpxx:Temperature&gt;17.74&lt;/gpxx:Temperature&gt;                &lt;gpxx:Depth&gt;12.71&lt;/gpxx:Depth&gt;                &lt;gpxx:DisplayMode&gt;SymbolAndName&lt;/gpxx:DisplayMode&gt;</t>
  </si>
  <si>
    <t>&lt;gpxx:Temperature&gt;17.75&lt;/gpxx:Temperature&gt;                &lt;gpxx:Depth&gt;13.12&lt;/gpxx:Depth&gt;                &lt;gpxx:DisplayMode&gt;SymbolAndName&lt;/gpxx:DisplayMode&gt;</t>
  </si>
  <si>
    <t>&lt;gpxx:Temperature&gt;17.75&lt;/gpxx:Temperature&gt;                &lt;gpxx:Depth&gt;13.35&lt;/gpxx:Depth&gt;                &lt;gpxx:DisplayMode&gt;SymbolAndName&lt;/gpxx:DisplayMode&gt;</t>
  </si>
  <si>
    <t>&lt;gpxx:Temperature&gt;17.75&lt;/gpxx:Temperature&gt;                &lt;gpxx:Depth&gt;13.47&lt;/gpxx:Depth&gt;                &lt;gpxx:DisplayMode&gt;SymbolAndName&lt;/gpxx:DisplayMode&gt;</t>
  </si>
  <si>
    <t>&lt;gpxx:Temperature&gt;17.77&lt;/gpxx:Temperature&gt;                &lt;gpxx:Depth&gt;13.73&lt;/gpxx:Depth&gt;                &lt;gpxx:DisplayMode&gt;SymbolAndName&lt;/gpxx:DisplayMode&gt;</t>
  </si>
  <si>
    <t>&lt;gpxx:Temperature&gt;17.78&lt;/gpxx:Temperature&gt;                &lt;gpxx:Depth&gt;13.90&lt;/gpxx:Depth&gt;                &lt;gpxx:DisplayMode&gt;SymbolAndName&lt;/gpxx:DisplayMode&gt;</t>
  </si>
  <si>
    <t>&lt;gpxx:Temperature&gt;17.78&lt;/gpxx:Temperature&gt;                &lt;gpxx:DisplayMode&gt;SymbolAndName&lt;/gpxx:DisplayMode&gt;</t>
  </si>
  <si>
    <t>&lt;gpxx:Temperature&gt;17.78&lt;/gpxx:Temperature&gt;                &lt;gpxx:Depth&gt;13.47&lt;/gpxx:Depth&gt;                &lt;gpxx:DisplayMode&gt;SymbolAndName&lt;/gpxx:DisplayMode&gt;</t>
  </si>
  <si>
    <t>&lt;gpxx:Temperature&gt;17.79&lt;/gpxx:Temperature&gt;                &lt;gpxx:Depth&gt;11.50&lt;/gpxx:Depth&gt;                &lt;gpxx:DisplayMode&gt;SymbolAndName&lt;/gpxx:DisplayMode&gt;</t>
  </si>
  <si>
    <t>&lt;gpxx:Temperature&gt;17.79&lt;/gpxx:Temperature&gt;                &lt;gpxx:Depth&gt;9.65&lt;/gpxx:Depth&gt;                &lt;gpxx:DisplayMode&gt;SymbolAndName&lt;/gpxx:DisplayMode&gt;</t>
  </si>
  <si>
    <t>&lt;gpxx:Temperature&gt;17.75&lt;/gpxx:Temperature&gt;                &lt;gpxx:Depth&gt;13.73&lt;/gpxx:Depth&gt;                &lt;gpxx:DisplayMode&gt;SymbolAndName&lt;/gpxx:DisplayMode&gt;</t>
  </si>
  <si>
    <t>&lt;gpxx:Temperature&gt;17.74&lt;/gpxx:Temperature&gt;                &lt;gpxx:Depth&gt;14.71&lt;/gpxx:Depth&gt;                &lt;gpxx:DisplayMode&gt;SymbolAndName&lt;/gpxx:DisplayMode&gt;</t>
  </si>
  <si>
    <t>&lt;gpxx:Temperature&gt;17.75&lt;/gpxx:Temperature&gt;                &lt;gpxx:Depth&gt;14.59&lt;/gpxx:Depth&gt;                &lt;gpxx:DisplayMode&gt;SymbolAndName&lt;/gpxx:DisplayMode&gt;</t>
  </si>
  <si>
    <t>&lt;gpxx:Temperature&gt;17.77&lt;/gpxx:Temperature&gt;                &lt;gpxx:Depth&gt;14.26&lt;/gpxx:Depth&gt;                &lt;gpxx:DisplayMode&gt;SymbolAndName&lt;/gpxx:DisplayMode&gt;</t>
  </si>
  <si>
    <t>&lt;gpxx:Temperature&gt;17.77&lt;/gpxx:Temperature&gt;                &lt;gpxx:Depth&gt;13.99&lt;/gpxx:Depth&gt;                &lt;gpxx:DisplayMode&gt;SymbolAndName&lt;/gpxx:DisplayMode&gt;</t>
  </si>
  <si>
    <t>&lt;gpxx:Temperature&gt;17.77&lt;/gpxx:Temperature&gt;                &lt;gpxx:Depth&gt;14.07&lt;/gpxx:Depth&gt;                &lt;gpxx:DisplayMode&gt;SymbolAndName&lt;/gpxx:DisplayMode&gt;</t>
  </si>
  <si>
    <t>&lt;gpxx:Temperature&gt;17.77&lt;/gpxx:Temperature&gt;                &lt;gpxx:Depth&gt;13.85&lt;/gpxx:Depth&gt;                &lt;gpxx:DisplayMode&gt;SymbolAndName&lt;/gpxx:DisplayMode&gt;</t>
  </si>
  <si>
    <t>&lt;gpxx:Temperature&gt;17.74&lt;/gpxx:Temperature&gt;                &lt;gpxx:Depth&gt;13.90&lt;/gpxx:Depth&gt;                &lt;gpxx:DisplayMode&gt;SymbolAndName&lt;/gpxx:DisplayMode&gt;</t>
  </si>
  <si>
    <t>&lt;gpxx:Temperature&gt;17.73&lt;/gpxx:Temperature&gt;                &lt;gpxx:Depth&gt;13.85&lt;/gpxx:Depth&gt;                &lt;gpxx:DisplayMode&gt;SymbolAndName&lt;/gpxx:DisplayMode&gt;</t>
  </si>
  <si>
    <t>&lt;gpxx:Temperature&gt;17.72&lt;/gpxx:Temperature&gt;                &lt;gpxx:Depth&gt;13.64&lt;/gpxx:Depth&gt;                &lt;gpxx:DisplayMode&gt;SymbolAndName&lt;/gpxx:DisplayMode&gt;</t>
  </si>
  <si>
    <t>&lt;gpxx:Temperature&gt;17.64&lt;/gpxx:Temperature&gt;                &lt;gpxx:Depth&gt;13.76&lt;/gpxx:Depth&gt;                &lt;gpxx:DisplayMode&gt;SymbolAndName&lt;/gpxx:DisplayMode&gt;</t>
  </si>
  <si>
    <t>&lt;gpxx:Temperature&gt;17.64&lt;/gpxx:Temperature&gt;                &lt;gpxx:DisplayMode&gt;SymbolAndName&lt;/gpxx:DisplayMode&gt;</t>
  </si>
  <si>
    <t>&lt;gpxx:Temperature&gt;17.64&lt;/gpxx:Temperature&gt;                &lt;gpxx:Depth&gt;14.35&lt;/gpxx:Depth&gt;                &lt;gpxx:DisplayMode&gt;SymbolAndName&lt;/gpxx:DisplayMode&gt;</t>
  </si>
  <si>
    <t>&lt;gpxx:Temperature&gt;17.67&lt;/gpxx:Temperature&gt;                &lt;gpxx:Depth&gt;14.11&lt;/gpxx:Depth&gt;                &lt;gpxx:DisplayMode&gt;SymbolAndName&lt;/gpxx:DisplayMode&gt;</t>
  </si>
  <si>
    <t>&lt;gpxx:Temperature&gt;17.69&lt;/gpxx:Temperature&gt;                &lt;gpxx:Depth&gt;14.09&lt;/gpxx:Depth&gt;                &lt;gpxx:DisplayMode&gt;SymbolAndName&lt;/gpxx:DisplayMode&gt;</t>
  </si>
  <si>
    <t>&lt;gpxx:Temperature&gt;17.70&lt;/gpxx:Temperature&gt;                &lt;gpxx:Depth&gt;14.21&lt;/gpxx:Depth&gt;                &lt;gpxx:DisplayMode&gt;SymbolAndName&lt;/gpxx:DisplayMode&gt;</t>
  </si>
  <si>
    <t>&lt;gpxx:Temperature&gt;17.71&lt;/gpxx:Temperature&gt;                &lt;gpxx:Depth&gt;14.54&lt;/gpxx:Depth&gt;                &lt;gpxx:DisplayMode&gt;SymbolAndName&lt;/gpxx:DisplayMode&gt;</t>
  </si>
  <si>
    <t>&lt;gpxx:Temperature&gt;17.71&lt;/gpxx:Temperature&gt;                &lt;gpxx:Depth&gt;14.56&lt;/gpxx:Depth&gt;                &lt;gpxx:DisplayMode&gt;SymbolAndName&lt;/gpxx:DisplayMode&gt;</t>
  </si>
  <si>
    <t>&lt;gpxx:Temperature&gt;17.71&lt;/gpxx:Temperature&gt;                &lt;gpxx:Depth&gt;14.52&lt;/gpxx:Depth&gt;                &lt;gpxx:DisplayMode&gt;SymbolAndName&lt;/gpxx:DisplayMode&gt;</t>
  </si>
  <si>
    <t>&lt;gpxx:Temperature&gt;17.69&lt;/gpxx:Temperature&gt;                &lt;gpxx:Depth&gt;14.23&lt;/gpxx:Depth&gt;                &lt;gpxx:DisplayMode&gt;SymbolAndName&lt;/gpxx:DisplayMode&gt;</t>
  </si>
  <si>
    <t>&lt;gpxx:Temperature&gt;17.67&lt;/gpxx:Temperature&gt;                &lt;gpxx:Depth&gt;14.09&lt;/gpxx:Depth&gt;                &lt;gpxx:DisplayMode&gt;SymbolAndName&lt;/gpxx:DisplayMode&gt;</t>
  </si>
  <si>
    <t>&lt;gpxx:Temperature&gt;17.64&lt;/gpxx:Temperature&gt;                &lt;gpxx:Depth&gt;14.11&lt;/gpxx:Depth&gt;                &lt;gpxx:DisplayMode&gt;SymbolAndName&lt;/gpxx:DisplayMode&gt;</t>
  </si>
  <si>
    <t>&lt;gpxx:Temperature&gt;17.62&lt;/gpxx:Temperature&gt;                &lt;gpxx:Depth&gt;13.73&lt;/gpxx:Depth&gt;                &lt;gpxx:DisplayMode&gt;SymbolAndName&lt;/gpxx:DisplayMode&gt;</t>
  </si>
  <si>
    <t>&lt;gpxx:Temperature&gt;17.60&lt;/gpxx:Temperature&gt;                &lt;gpxx:Depth&gt;13.62&lt;/gpxx:Depth&gt;                &lt;gpxx:DisplayMode&gt;SymbolAndName&lt;/gpxx:DisplayMode&gt;</t>
  </si>
  <si>
    <t>&lt;gpxx:Temperature&gt;17.60&lt;/gpxx:Temperature&gt;                &lt;gpxx:Depth&gt;13.59&lt;/gpxx:Depth&gt;                &lt;gpxx:DisplayMode&gt;SymbolAndName&lt;/gpxx:DisplayMode&gt;</t>
  </si>
  <si>
    <t>&lt;gpxx:Temperature&gt;17.58&lt;/gpxx:Temperature&gt;                &lt;gpxx:Depth&gt;13.24&lt;/gpxx:Depth&gt;                &lt;gpxx:DisplayMode&gt;SymbolAndName&lt;/gpxx:DisplayMode&gt;</t>
  </si>
  <si>
    <t>&lt;gpxx:Temperature&gt;17.56&lt;/gpxx:Temperature&gt;                &lt;gpxx:Depth&gt;13.12&lt;/gpxx:Depth&gt;                &lt;gpxx:DisplayMode&gt;SymbolAndName&lt;/gpxx:DisplayMode&gt;</t>
  </si>
  <si>
    <t>&lt;gpxx:Temperature&gt;17.55&lt;/gpxx:Temperature&gt;                &lt;gpxx:Depth&gt;13.62&lt;/gpxx:Depth&gt;                &lt;gpxx:DisplayMode&gt;SymbolAndName&lt;/gpxx:DisplayMode&gt;</t>
  </si>
  <si>
    <t>&lt;gpxx:Temperature&gt;17.55&lt;/gpxx:Temperature&gt;                &lt;gpxx:Depth&gt;12.74&lt;/gpxx:Depth&gt;                &lt;gpxx:DisplayMode&gt;SymbolAndName&lt;/gpxx:DisplayMode&gt;</t>
  </si>
  <si>
    <t>&lt;gpxx:Temperature&gt;18.81&lt;/gpxx:Temperature&gt;                &lt;gpxx:Depth&gt;4.86&lt;/gpxx:Depth&gt;                &lt;gpxx:DisplayMode&gt;SymbolAndName&lt;/gpxx:DisplayMode&gt;</t>
  </si>
  <si>
    <t>MOR</t>
  </si>
  <si>
    <t>&lt;gpxx:Temperature&gt;18.80&lt;/gpxx:Temperature&gt;                &lt;gpxx:Depth&gt;6.62&lt;/gpxx:Depth&gt;                &lt;gpxx:DisplayMode&gt;SymbolAndName&lt;/gpxx:DisplayMode&gt;</t>
  </si>
  <si>
    <t>&lt;gpxx:Temperature&gt;18.80&lt;/gpxx:Temperature&gt;                &lt;gpxx:Depth&gt;6.69&lt;/gpxx:Depth&gt;                &lt;gpxx:DisplayMode&gt;SymbolAndName&lt;/gpxx:DisplayMode&gt;</t>
  </si>
  <si>
    <t>&lt;gpxx:Temperature&gt;18.80&lt;/gpxx:Temperature&gt;                &lt;gpxx:Depth&gt;6.45&lt;/gpxx:Depth&gt;                &lt;gpxx:DisplayMode&gt;SymbolAndName&lt;/gpxx:DisplayMode&gt;</t>
  </si>
  <si>
    <t>&lt;gpxx:Temperature&gt;18.78&lt;/gpxx:Temperature&gt;                &lt;gpxx:Depth&gt;6.29&lt;/gpxx:Depth&gt;                &lt;gpxx:DisplayMode&gt;SymbolAndName&lt;/gpxx:DisplayMode&gt;</t>
  </si>
  <si>
    <t>&lt;gpxx:Temperature&gt;18.77&lt;/gpxx:Temperature&gt;                &lt;gpxx:Depth&gt;6.50&lt;/gpxx:Depth&gt;                &lt;gpxx:DisplayMode&gt;SymbolAndName&lt;/gpxx:DisplayMode&gt;</t>
  </si>
  <si>
    <t>&lt;gpxx:Temperature&gt;18.80&lt;/gpxx:Temperature&gt;                &lt;gpxx:Depth&gt;6.31&lt;/gpxx:Depth&gt;                &lt;gpxx:DisplayMode&gt;SymbolAndName&lt;/gpxx:DisplayMode&gt;</t>
  </si>
  <si>
    <t>&lt;gpxx:Temperature&gt;18.80&lt;/gpxx:Temperature&gt;                &lt;gpxx:Depth&gt;6.29&lt;/gpxx:Depth&gt;                &lt;gpxx:DisplayMode&gt;SymbolAndName&lt;/gpxx:DisplayMode&gt;</t>
  </si>
  <si>
    <t>&lt;gpxx:Temperature&gt;18.73&lt;/gpxx:Temperature&gt;                &lt;gpxx:DisplayMode&gt;SymbolAndName&lt;/gpxx:DisplayMode&gt;</t>
  </si>
  <si>
    <t>&lt;gpxx:Temperature&gt;18.67&lt;/gpxx:Temperature&gt;                &lt;gpxx:Depth&gt;6.86&lt;/gpxx:Depth&gt;                &lt;gpxx:DisplayMode&gt;SymbolAndName&lt;/gpxx:DisplayMode&gt;</t>
  </si>
  <si>
    <t>&lt;gpxx:Temperature&gt;18.59&lt;/gpxx:Temperature&gt;                &lt;gpxx:Depth&gt;7.95&lt;/gpxx:Depth&gt;                &lt;gpxx:DisplayMode&gt;SymbolAndName&lt;/gpxx:DisplayMode&gt;</t>
  </si>
  <si>
    <t>&lt;gpxx:Temperature&gt;18.57&lt;/gpxx:Temperature&gt;                &lt;gpxx:Depth&gt;7.90&lt;/gpxx:Depth&gt;                &lt;gpxx:DisplayMode&gt;SymbolAndName&lt;/gpxx:DisplayMode&gt;</t>
  </si>
  <si>
    <t>&lt;gpxx:Temperature&gt;18.58&lt;/gpxx:Temperature&gt;                &lt;gpxx:Depth&gt;7.71&lt;/gpxx:Depth&gt;                &lt;gpxx:DisplayMode&gt;SymbolAndName&lt;/gpxx:DisplayMode&gt;</t>
  </si>
  <si>
    <t>&lt;gpxx:Temperature&gt;18.58&lt;/gpxx:Temperature&gt;                &lt;gpxx:Depth&gt;7.69&lt;/gpxx:Depth&gt;                &lt;gpxx:DisplayMode&gt;SymbolAndName&lt;/gpxx:DisplayMode&gt;</t>
  </si>
  <si>
    <t>&lt;gpxx:Temperature&gt;18.59&lt;/gpxx:Temperature&gt;                &lt;gpxx:Depth&gt;7.85&lt;/gpxx:Depth&gt;                &lt;gpxx:DisplayMode&gt;SymbolAndName&lt;/gpxx:DisplayMode&gt;</t>
  </si>
  <si>
    <t>&lt;gpxx:Temperature&gt;18.61&lt;/gpxx:Temperature&gt;                &lt;gpxx:Depth&gt;7.71&lt;/gpxx:Depth&gt;                &lt;gpxx:DisplayMode&gt;SymbolAndName&lt;/gpxx:DisplayMode&gt;</t>
  </si>
  <si>
    <t>&lt;gpxx:Temperature&gt;18.62&lt;/gpxx:Temperature&gt;                &lt;gpxx:Depth&gt;7.66&lt;/gpxx:Depth&gt;                &lt;gpxx:DisplayMode&gt;SymbolAndName&lt;/gpxx:DisplayMode&gt;</t>
  </si>
  <si>
    <t>&lt;gpxx:Temperature&gt;18.62&lt;/gpxx:Temperature&gt;                &lt;gpxx:Depth&gt;7.95&lt;/gpxx:Depth&gt;                &lt;gpxx:DisplayMode&gt;SymbolAndName&lt;/gpxx:DisplayMode&gt;</t>
  </si>
  <si>
    <t>&lt;gpxx:Temperature&gt;18.62&lt;/gpxx:Temperature&gt;                &lt;gpxx:Depth&gt;7.35&lt;/gpxx:Depth&gt;                &lt;gpxx:DisplayMode&gt;SymbolAndName&lt;/gpxx:DisplayMode&gt;</t>
  </si>
  <si>
    <t>&lt;gpxx:Temperature&gt;18.61&lt;/gpxx:Temperature&gt;                &lt;gpxx:Depth&gt;7.33&lt;/gpxx:Depth&gt;                &lt;gpxx:DisplayMode&gt;SymbolAndName&lt;/gpxx:DisplayMode&gt;</t>
  </si>
  <si>
    <t>&lt;gpxx:Temperature&gt;18.46&lt;/gpxx:Temperature&gt;                &lt;gpxx:Depth&gt;8.23&lt;/gpxx:Depth&gt;                &lt;gpxx:DisplayMode&gt;SymbolAndName&lt;/gpxx:DisplayMode&gt;</t>
  </si>
  <si>
    <t>&lt;gpxx:Temperature&gt;18.42&lt;/gpxx:Temperature&gt;                &lt;gpxx:Depth&gt;9.89&lt;/gpxx:Depth&gt;                &lt;gpxx:DisplayMode&gt;SymbolAndName&lt;/gpxx:DisplayMode&gt;</t>
  </si>
  <si>
    <t>&lt;gpxx:Temperature&gt;18.40&lt;/gpxx:Temperature&gt;                &lt;gpxx:Depth&gt;8.40&lt;/gpxx:Depth&gt;                &lt;gpxx:DisplayMode&gt;SymbolAndName&lt;/gpxx:DisplayMode&gt;</t>
  </si>
  <si>
    <t>&lt;gpxx:Temperature&gt;18.39&lt;/gpxx:Temperature&gt;                &lt;gpxx:Depth&gt;8.28&lt;/gpxx:Depth&gt;                &lt;gpxx:DisplayMode&gt;SymbolAndName&lt;/gpxx:DisplayMode&gt;</t>
  </si>
  <si>
    <t>&lt;gpxx:Temperature&gt;18.42&lt;/gpxx:Temperature&gt;                &lt;gpxx:Depth&gt;8.28&lt;/gpxx:Depth&gt;                &lt;gpxx:DisplayMode&gt;SymbolAndName&lt;/gpxx:DisplayMode&gt;</t>
  </si>
  <si>
    <t>&lt;gpxx:Temperature&gt;18.44&lt;/gpxx:Temperature&gt;                &lt;gpxx:Depth&gt;8.23&lt;/gpxx:Depth&gt;                &lt;gpxx:DisplayMode&gt;SymbolAndName&lt;/gpxx:DisplayMode&gt;</t>
  </si>
  <si>
    <t>&lt;gpxx:Temperature&gt;18.47&lt;/gpxx:Temperature&gt;                &lt;gpxx:Depth&gt;8.23&lt;/gpxx:Depth&gt;                &lt;gpxx:DisplayMode&gt;SymbolAndName&lt;/gpxx:DisplayMode&gt;</t>
  </si>
  <si>
    <t>&lt;gpxx:Temperature&gt;18.48&lt;/gpxx:Temperature&gt;                &lt;gpxx:Depth&gt;8.47&lt;/gpxx:Depth&gt;                &lt;gpxx:DisplayMode&gt;SymbolAndName&lt;/gpxx:DisplayMode&gt;</t>
  </si>
  <si>
    <t>&lt;gpxx:Temperature&gt;18.49&lt;/gpxx:Temperature&gt;                &lt;gpxx:Depth&gt;8.16&lt;/gpxx:Depth&gt;                &lt;gpxx:DisplayMode&gt;SymbolAndName&lt;/gpxx:DisplayMode&gt;</t>
  </si>
  <si>
    <t>&lt;gpxx:Temperature&gt;18.49&lt;/gpxx:Temperature&gt;                &lt;gpxx:Depth&gt;8.30&lt;/gpxx:Depth&gt;                &lt;gpxx:DisplayMode&gt;SymbolAndName&lt;/gpxx:DisplayMode&gt;</t>
  </si>
  <si>
    <t>&lt;gpxx:Temperature&gt;18.50&lt;/gpxx:Temperature&gt;                &lt;gpxx:Depth&gt;9.08&lt;/gpxx:Depth&gt;                &lt;gpxx:DisplayMode&gt;SymbolAndName&lt;/gpxx:DisplayMode&gt;</t>
  </si>
  <si>
    <t>&lt;gpxx:Temperature&gt;18.52&lt;/gpxx:Temperature&gt;                &lt;gpxx:Depth&gt;8.94&lt;/gpxx:Depth&gt;                &lt;gpxx:DisplayMode&gt;SymbolAndName&lt;/gpxx:DisplayMode&gt;</t>
  </si>
  <si>
    <t>&lt;gpxx:Temperature&gt;18.52&lt;/gpxx:Temperature&gt;                &lt;gpxx:Depth&gt;8.82&lt;/gpxx:Depth&gt;                &lt;gpxx:DisplayMode&gt;SymbolAndName&lt;/gpxx:DisplayMode&gt;</t>
  </si>
  <si>
    <t>&lt;gpxx:Temperature&gt;18.53&lt;/gpxx:Temperature&gt;                &lt;gpxx:Depth&gt;8.80&lt;/gpxx:Depth&gt;                &lt;gpxx:DisplayMode&gt;SymbolAndName&lt;/gpxx:DisplayMode&gt;</t>
  </si>
  <si>
    <t>&lt;gpxx:Temperature&gt;18.53&lt;/gpxx:Temperature&gt;                &lt;gpxx:Depth&gt;8.75&lt;/gpxx:Depth&gt;                &lt;gpxx:DisplayMode&gt;SymbolAndName&lt;/gpxx:DisplayMode&gt;</t>
  </si>
  <si>
    <t>&lt;gpxx:Temperature&gt;18.55&lt;/gpxx:Temperature&gt;                &lt;gpxx:Depth&gt;8.61&lt;/gpxx:Depth&gt;                &lt;gpxx:DisplayMode&gt;SymbolAndName&lt;/gpxx:DisplayMode&gt;</t>
  </si>
  <si>
    <t>&lt;gpxx:Temperature&gt;18.56&lt;/gpxx:Temperature&gt;                &lt;gpxx:Depth&gt;8.59&lt;/gpxx:Depth&gt;                &lt;gpxx:DisplayMode&gt;SymbolAndName&lt;/gpxx:DisplayMode&gt;</t>
  </si>
  <si>
    <t>&lt;gpxx:Temperature&gt;18.56&lt;/gpxx:Temperature&gt;                &lt;gpxx:Depth&gt;9.06&lt;/gpxx:Depth&gt;                &lt;gpxx:DisplayMode&gt;SymbolAndName&lt;/gpxx:DisplayMode&gt;</t>
  </si>
  <si>
    <t>&lt;gpxx:Temperature&gt;18.57&lt;/gpxx:Temperature&gt;                &lt;gpxx:Depth&gt;8.68&lt;/gpxx:Depth&gt;                &lt;gpxx:DisplayMode&gt;SymbolAndName&lt;/gpxx:DisplayMode&gt;</t>
  </si>
  <si>
    <t>&lt;gpxx:Temperature&gt;18.62&lt;/gpxx:Temperature&gt;                &lt;gpxx:Depth&gt;8.63&lt;/gpxx:Depth&gt;                &lt;gpxx:DisplayMode&gt;SymbolAndName&lt;/gpxx:DisplayMode&gt;</t>
  </si>
  <si>
    <t>&lt;gpxx:Temperature&gt;18.68&lt;/gpxx:Temperature&gt;                &lt;gpxx:Depth&gt;9.23&lt;/gpxx:Depth&gt;                &lt;gpxx:DisplayMode&gt;SymbolAndName&lt;/gpxx:DisplayMode&gt;</t>
  </si>
  <si>
    <t>&lt;gpxx:Temperature&gt;18.68&lt;/gpxx:Temperature&gt;                &lt;gpxx:Depth&gt;9.18&lt;/gpxx:Depth&gt;                &lt;gpxx:DisplayMode&gt;SymbolAndName&lt;/gpxx:DisplayMode&gt;</t>
  </si>
  <si>
    <t>&lt;gpxx:Temperature&gt;18.70&lt;/gpxx:Temperature&gt;                &lt;gpxx:Depth&gt;9.11&lt;/gpxx:Depth&gt;                &lt;gpxx:DisplayMode&gt;SymbolAndName&lt;/gpxx:DisplayMode&gt;</t>
  </si>
  <si>
    <t>&lt;gpxx:Temperature&gt;18.71&lt;/gpxx:Temperature&gt;                &lt;gpxx:Depth&gt;9.20&lt;/gpxx:Depth&gt;                &lt;gpxx:DisplayMode&gt;SymbolAndName&lt;/gpxx:DisplayMode&gt;</t>
  </si>
  <si>
    <t>&lt;gpxx:Temperature&gt;18.71&lt;/gpxx:Temperature&gt;                &lt;gpxx:Depth&gt;9.30&lt;/gpxx:Depth&gt;                &lt;gpxx:DisplayMode&gt;SymbolAndName&lt;/gpxx:DisplayMode&gt;</t>
  </si>
  <si>
    <t>&lt;gpxx:Temperature&gt;18.71&lt;/gpxx:Temperature&gt;                &lt;gpxx:DisplayMode&gt;SymbolAndName&lt;/gpxx:DisplayMode&gt;</t>
  </si>
  <si>
    <t>&lt;gpxx:Temperature&gt;18.72&lt;/gpxx:Temperature&gt;                &lt;gpxx:Depth&gt;9.56&lt;/gpxx:Depth&gt;                &lt;gpxx:DisplayMode&gt;SymbolAndName&lt;/gpxx:DisplayMode&gt;</t>
  </si>
  <si>
    <t>&lt;gpxx:Temperature&gt;18.72&lt;/gpxx:Temperature&gt;                &lt;gpxx:Depth&gt;10.65&lt;/gpxx:Depth&gt;                &lt;gpxx:DisplayMode&gt;SymbolAndName&lt;/gpxx:DisplayMode&gt;</t>
  </si>
  <si>
    <t>&lt;gpxx:Temperature&gt;18.70&lt;/gpxx:Temperature&gt;                &lt;gpxx:Depth&gt;9.80&lt;/gpxx:Depth&gt;                &lt;gpxx:DisplayMode&gt;SymbolAndName&lt;/gpxx:DisplayMode&gt;</t>
  </si>
  <si>
    <t>&lt;gpxx:Temperature&gt;18.70&lt;/gpxx:Temperature&gt;                &lt;gpxx:Depth&gt;9.63&lt;/gpxx:Depth&gt;                &lt;gpxx:DisplayMode&gt;SymbolAndName&lt;/gpxx:DisplayMode&gt;</t>
  </si>
  <si>
    <t>&lt;gpxx:Temperature&gt;19.89&lt;/gpxx:Temperature&gt;                &lt;gpxx:Depth&gt;4.46&lt;/gpxx:Depth&gt;                &lt;gpxx:DisplayMode&gt;SymbolAndName&lt;/gpxx:DisplayMode&gt;</t>
  </si>
  <si>
    <t>STK</t>
  </si>
  <si>
    <t>&lt;gpxx:Temperature&gt;19.92&lt;/gpxx:Temperature&gt;                &lt;gpxx:Depth&gt;4.53&lt;/gpxx:Depth&gt;                &lt;gpxx:DisplayMode&gt;SymbolAndName&lt;/gpxx:DisplayMode&gt;</t>
  </si>
  <si>
    <t>&lt;gpxx:Temperature&gt;19.94&lt;/gpxx:Temperature&gt;                &lt;gpxx:Depth&gt;4.58&lt;/gpxx:Depth&gt;                &lt;gpxx:DisplayMode&gt;SymbolAndName&lt;/gpxx:DisplayMode&gt;</t>
  </si>
  <si>
    <t>&lt;gpxx:Temperature&gt;19.95&lt;/gpxx:Temperature&gt;                &lt;gpxx:Depth&gt;4.60&lt;/gpxx:Depth&gt;                &lt;gpxx:DisplayMode&gt;SymbolAndName&lt;/gpxx:DisplayMode&gt;</t>
  </si>
  <si>
    <t>&lt;gpxx:Temperature&gt;19.97&lt;/gpxx:Temperature&gt;                &lt;gpxx:Depth&gt;4.63&lt;/gpxx:Depth&gt;                &lt;gpxx:DisplayMode&gt;SymbolAndName&lt;/gpxx:DisplayMode&gt;</t>
  </si>
  <si>
    <t>&lt;gpxx:Temperature&gt;19.95&lt;/gpxx:Temperature&gt;                &lt;gpxx:Depth&gt;4.74&lt;/gpxx:Depth&gt;                &lt;gpxx:DisplayMode&gt;SymbolAndName&lt;/gpxx:DisplayMode&gt;</t>
  </si>
  <si>
    <t>&lt;gpxx:Temperature&gt;20.02&lt;/gpxx:Temperature&gt;                &lt;gpxx:Depth&gt;4.70&lt;/gpxx:Depth&gt;                &lt;gpxx:DisplayMode&gt;SymbolAndName&lt;/gpxx:DisplayMode&gt;</t>
  </si>
  <si>
    <t>&lt;gpxx:Temperature&gt;20.07&lt;/gpxx:Temperature&gt;                &lt;gpxx:Depth&gt;4.82&lt;/gpxx:Depth&gt;                &lt;gpxx:DisplayMode&gt;SymbolAndName&lt;/gpxx:DisplayMode&gt;</t>
  </si>
  <si>
    <t>&lt;gpxx:Temperature&gt;20.07&lt;/gpxx:Temperature&gt;                &lt;gpxx:Depth&gt;4.77&lt;/gpxx:Depth&gt;                &lt;gpxx:DisplayMode&gt;SymbolAndName&lt;/gpxx:DisplayMode&gt;</t>
  </si>
  <si>
    <t>&lt;gpxx:Temperature&gt;19.98&lt;/gpxx:Temperature&gt;                &lt;gpxx:Depth&gt;4.70&lt;/gpxx:Depth&gt;                &lt;gpxx:DisplayMode&gt;SymbolAndName&lt;/gpxx:DisplayMode&gt;</t>
  </si>
  <si>
    <t>&lt;gpxx:Temperature&gt;19.68&lt;/gpxx:Temperature&gt;                &lt;gpxx:Depth&gt;5.10&lt;/gpxx:Depth&gt;                &lt;gpxx:DisplayMode&gt;SymbolAndName&lt;/gpxx:DisplayMode&gt;</t>
  </si>
  <si>
    <t>&lt;gpxx:Temperature&gt;19.71&lt;/gpxx:Temperature&gt;                &lt;gpxx:DisplayMode&gt;SymbolAndName&lt;/gpxx:DisplayMode&gt;</t>
  </si>
  <si>
    <t>&lt;gpxx:Temperature&gt;19.75&lt;/gpxx:Temperature&gt;                &lt;gpxx:DisplayMode&gt;SymbolAndName&lt;/gpxx:DisplayMode&gt;</t>
  </si>
  <si>
    <t>&lt;gpxx:Temperature&gt;19.73&lt;/gpxx:Temperature&gt;                &lt;gpxx:Depth&gt;4.91&lt;/gpxx:Depth&gt;                &lt;gpxx:DisplayMode&gt;SymbolAndName&lt;/gpxx:DisplayMode&gt;</t>
  </si>
  <si>
    <t>&lt;gpxx:Temperature&gt;19.73&lt;/gpxx:Temperature&gt;                &lt;gpxx:Depth&gt;4.84&lt;/gpxx:Depth&gt;                &lt;gpxx:DisplayMode&gt;SymbolAndName&lt;/gpxx:DisplayMode&gt;</t>
  </si>
  <si>
    <t>&lt;gpxx:Temperature&gt;19.73&lt;/gpxx:Temperature&gt;                &lt;gpxx:Depth&gt;4.79&lt;/gpxx:Depth&gt;                &lt;gpxx:DisplayMode&gt;SymbolAndName&lt;/gpxx:DisplayMode&gt;</t>
  </si>
  <si>
    <t>&lt;gpxx:Temperature&gt;19.73&lt;/gpxx:Temperature&gt;                &lt;gpxx:Depth&gt;4.72&lt;/gpxx:Depth&gt;                &lt;gpxx:DisplayMode&gt;SymbolAndName&lt;/gpxx:DisplayMode&gt;</t>
  </si>
  <si>
    <t>&lt;gpxx:Temperature&gt;19.74&lt;/gpxx:Temperature&gt;                &lt;gpxx:Depth&gt;4.63&lt;/gpxx:Depth&gt;                &lt;gpxx:DisplayMode&gt;SymbolAndName&lt;/gpxx:DisplayMode&gt;</t>
  </si>
  <si>
    <t>&lt;gpxx:Temperature&gt;19.76&lt;/gpxx:Temperature&gt;                &lt;gpxx:DisplayMode&gt;SymbolAndName&lt;/gpxx:DisplayMode&gt;</t>
  </si>
  <si>
    <t>&lt;gpxx:Temperature&gt;19.78&lt;/gpxx:Temperature&gt;                &lt;gpxx:Depth&gt;4.44&lt;/gpxx:Depth&gt;                &lt;gpxx:DisplayMode&gt;SymbolAndName&lt;/gpxx:DisplayMode&gt;</t>
  </si>
  <si>
    <t>&lt;gpxx:Temperature&gt;19.75&lt;/gpxx:Temperature&gt;                &lt;gpxx:Depth&gt;4.63&lt;/gpxx:Depth&gt;                &lt;gpxx:DisplayMode&gt;SymbolAndName&lt;/gpxx:DisplayMode&gt;</t>
  </si>
  <si>
    <t>&lt;gpxx:Temperature&gt;19.71&lt;/gpxx:Temperature&gt;                &lt;gpxx:Depth&gt;4.72&lt;/gpxx:Depth&gt;                &lt;gpxx:DisplayMode&gt;SymbolAndName&lt;/gpxx:DisplayMode&gt;</t>
  </si>
  <si>
    <t>&lt;gpxx:Temperature&gt;19.64&lt;/gpxx:Temperature&gt;                &lt;gpxx:Depth&gt;4.84&lt;/gpxx:Depth&gt;                &lt;gpxx:DisplayMode&gt;SymbolAndName&lt;/gpxx:DisplayMode&gt;</t>
  </si>
  <si>
    <t>&lt;gpxx:Temperature&gt;19.59&lt;/gpxx:Temperature&gt;                &lt;gpxx:Depth&gt;4.84&lt;/gpxx:Depth&gt;                &lt;gpxx:DisplayMode&gt;SymbolAndName&lt;/gpxx:DisplayMode&gt;</t>
  </si>
  <si>
    <t>&lt;gpxx:Temperature&gt;19.51&lt;/gpxx:Temperature&gt;                &lt;gpxx:Depth&gt;5.00&lt;/gpxx:Depth&gt;                &lt;gpxx:DisplayMode&gt;SymbolAndName&lt;/gpxx:DisplayMode&gt;</t>
  </si>
  <si>
    <t>&lt;gpxx:Temperature&gt;19.47&lt;/gpxx:Temperature&gt;                &lt;gpxx:Depth&gt;4.96&lt;/gpxx:Depth&gt;                &lt;gpxx:DisplayMode&gt;SymbolAndName&lt;/gpxx:DisplayMode&gt;</t>
  </si>
  <si>
    <t>&lt;gpxx:Temperature&gt;19.43&lt;/gpxx:Temperature&gt;                &lt;gpxx:Depth&gt;5.08&lt;/gpxx:Depth&gt;                &lt;gpxx:DisplayMode&gt;SymbolAndName&lt;/gpxx:DisplayMode&gt;</t>
  </si>
  <si>
    <t>&lt;gpxx:Temperature&gt;19.43&lt;/gpxx:Temperature&gt;                &lt;gpxx:Depth&gt;5.15&lt;/gpxx:Depth&gt;                &lt;gpxx:DisplayMode&gt;SymbolAndName&lt;/gpxx:DisplayMode&gt;</t>
  </si>
  <si>
    <t>&lt;gpxx:Temperature&gt;19.45&lt;/gpxx:Temperature&gt;                &lt;gpxx:Depth&gt;5.22&lt;/gpxx:Depth&gt;                &lt;gpxx:DisplayMode&gt;SymbolAndName&lt;/gpxx:DisplayMode&gt;</t>
  </si>
  <si>
    <t>&lt;gpxx:Temperature&gt;19.51&lt;/gpxx:Temperature&gt;                &lt;gpxx:Depth&gt;5.17&lt;/gpxx:Depth&gt;                &lt;gpxx:DisplayMode&gt;SymbolAndName&lt;/gpxx:DisplayMode&gt;</t>
  </si>
  <si>
    <t>&lt;gpxx:Temperature&gt;19.69&lt;/gpxx:Temperature&gt;                &lt;gpxx:Depth&gt;5.41&lt;/gpxx:Depth&gt;                &lt;gpxx:DisplayMode&gt;SymbolAndName&lt;/gpxx:DisplayMode&gt;</t>
  </si>
  <si>
    <t>&lt;gpxx:Temperature&gt;19.68&lt;/gpxx:Temperature&gt;                &lt;gpxx:Depth&gt;5.34&lt;/gpxx:Depth&gt;                &lt;gpxx:DisplayMode&gt;SymbolAndName&lt;/gpxx:DisplayMode&gt;</t>
  </si>
  <si>
    <t>&lt;gpxx:Temperature&gt;19.68&lt;/gpxx:Temperature&gt;                &lt;gpxx:Depth&gt;5.27&lt;/gpxx:Depth&gt;                &lt;gpxx:DisplayMode&gt;SymbolAndName&lt;/gpxx:DisplayMode&gt;</t>
  </si>
  <si>
    <t>&lt;gpxx:Temperature&gt;19.65&lt;/gpxx:Temperature&gt;                &lt;gpxx:Depth&gt;5.15&lt;/gpxx:Depth&gt;                &lt;gpxx:DisplayMode&gt;SymbolAndName&lt;/gpxx:DisplayMode&gt;</t>
  </si>
  <si>
    <t>&lt;gpxx:Temperature&gt;19.56&lt;/gpxx:Temperature&gt;                &lt;gpxx:Depth&gt;5.05&lt;/gpxx:Depth&gt;                &lt;gpxx:DisplayMode&gt;SymbolAndName&lt;/gpxx:DisplayMode&gt;</t>
  </si>
  <si>
    <t>&lt;gpxx:Temperature&gt;19.47&lt;/gpxx:Temperature&gt;                &lt;gpxx:DisplayMode&gt;SymbolAndName&lt;/gpxx:DisplayMode&gt;</t>
  </si>
  <si>
    <t>&lt;gpxx:Temperature&gt;19.43&lt;/gpxx:Temperature&gt;                &lt;gpxx:Depth&gt;4.89&lt;/gpxx:Depth&gt;                &lt;gpxx:DisplayMode&gt;SymbolAndName&lt;/gpxx:DisplayMode&gt;</t>
  </si>
  <si>
    <t>&lt;gpxx:Temperature&gt;19.46&lt;/gpxx:Temperature&gt;                &lt;gpxx:Depth&gt;4.86&lt;/gpxx:Depth&gt;                &lt;gpxx:DisplayMode&gt;SymbolAndName&lt;/gpxx:DisplayMode&gt;</t>
  </si>
  <si>
    <t>&lt;gpxx:Temperature&gt;19.45&lt;/gpxx:Temperature&gt;                &lt;gpxx:Depth&gt;4.93&lt;/gpxx:Depth&gt;                &lt;gpxx:DisplayMode&gt;SymbolAndName&lt;/gpxx:DisplayMode&gt;</t>
  </si>
  <si>
    <t>&lt;gpxx:Temperature&gt;19.45&lt;/gpxx:Temperature&gt;                &lt;gpxx:Depth&gt;4.79&lt;/gpxx:Depth&gt;                &lt;gpxx:DisplayMode&gt;SymbolAndName&lt;/gpxx:DisplayMode&gt;</t>
  </si>
  <si>
    <t>&lt;gpxx:Temperature&gt;19.48&lt;/gpxx:Temperature&gt;                &lt;gpxx:Depth&gt;4.86&lt;/gpxx:Depth&gt;                &lt;gpxx:DisplayMode&gt;SymbolAndName&lt;/gpxx:DisplayMode&gt;</t>
  </si>
  <si>
    <t>&lt;gpxx:Temperature&gt;19.47&lt;/gpxx:Temperature&gt;                &lt;gpxx:Depth&gt;4.91&lt;/gpxx:Depth&gt;                &lt;gpxx:DisplayMode&gt;SymbolAndName&lt;/gpxx:DisplayMode&gt;</t>
  </si>
  <si>
    <t>&lt;gpxx:Temperature&gt;19.43&lt;/gpxx:Temperature&gt;                &lt;gpxx:Depth&gt;5.05&lt;/gpxx:Depth&gt;                &lt;gpxx:DisplayMode&gt;SymbolAndName&lt;/gpxx:DisplayMode&gt;</t>
  </si>
  <si>
    <t>&lt;gpxx:Temperature&gt;19.43&lt;/gpxx:Temperature&gt;                &lt;gpxx:Depth&gt;5.03&lt;/gpxx:Depth&gt;                &lt;gpxx:DisplayMode&gt;SymbolAndName&lt;/gpxx:DisplayMode&gt;</t>
  </si>
  <si>
    <t>&lt;gpxx:Temperature&gt;19.46&lt;/gpxx:Temperature&gt;                &lt;gpxx:Depth&gt;5.22&lt;/gpxx:Depth&gt;                &lt;gpxx:DisplayMode&gt;SymbolAndName&lt;/gpxx:DisplayMode&gt;</t>
  </si>
  <si>
    <t>&lt;gpxx:Temperature&gt;19.52&lt;/gpxx:Temperature&gt;                &lt;gpxx:Depth&gt;5.17&lt;/gpxx:Depth&gt;                &lt;gpxx:DisplayMode&gt;SymbolAndName&lt;/gpxx:DisplayMode&gt;</t>
  </si>
  <si>
    <t>&lt;gpxx:Temperature&gt;19.71&lt;/gpxx:Temperature&gt;                &lt;gpxx:Depth&gt;5.22&lt;/gpxx:Depth&gt;                &lt;gpxx:DisplayMode&gt;SymbolAndName&lt;/gpxx:DisplayMode&gt;</t>
  </si>
  <si>
    <t>&lt;gpxx:Temperature&gt;19.75&lt;/gpxx:Temperature&gt;                &lt;gpxx:Depth&gt;5.34&lt;/gpxx:Depth&gt;                &lt;gpxx:DisplayMode&gt;SymbolAndName&lt;/gpxx:DisplayMode&gt;</t>
  </si>
  <si>
    <t>&lt;gpxx:Temperature&gt;19.80&lt;/gpxx:Temperature&gt;                &lt;gpxx:Depth&gt;5.38&lt;/gpxx:Depth&gt;                &lt;gpxx:DisplayMode&gt;SymbolAndName&lt;/gpxx:DisplayMode&gt;</t>
  </si>
  <si>
    <t>Mud Island Coordinates</t>
  </si>
  <si>
    <t>WKT</t>
  </si>
  <si>
    <t>CODE</t>
  </si>
  <si>
    <t>description</t>
  </si>
  <si>
    <t>LINESTRING (144.7491823 -38.2723968, 144.7551302 -38.2644451)</t>
  </si>
  <si>
    <t>Transect 1</t>
  </si>
  <si>
    <t>In middle of bay, a bit back from the heads. A shallower site, but subject to strong tidal currents after the ebb</t>
  </si>
  <si>
    <t>POINT (144.7491823 -38.2723968)</t>
  </si>
  <si>
    <t>Drop camera 1</t>
  </si>
  <si>
    <t>MUI001</t>
  </si>
  <si>
    <t>POINT (144.7551302 -38.2644451)</t>
  </si>
  <si>
    <t>Drop camera 10</t>
  </si>
  <si>
    <t>MUI010</t>
  </si>
  <si>
    <t>LINESTRING (144.746633 -38.2713361, 144.7527715 -38.2635765)</t>
  </si>
  <si>
    <t>Transect 2</t>
  </si>
  <si>
    <t>POINT (144.746633 -38.2713361)</t>
  </si>
  <si>
    <t>Drop camera 11</t>
  </si>
  <si>
    <t>MUI011</t>
  </si>
  <si>
    <t>POINT (144.7527715 -38.2635765)</t>
  </si>
  <si>
    <t>Drop camera 20</t>
  </si>
  <si>
    <t>MUI020</t>
  </si>
  <si>
    <t>LINESTRING (144.744058 -38.2703927, 144.7499176 -38.2623635)</t>
  </si>
  <si>
    <t>Transect 3</t>
  </si>
  <si>
    <t>POINT (144.744058 -38.2703927)</t>
  </si>
  <si>
    <t>Drop camera 21</t>
  </si>
  <si>
    <t>MUI021</t>
  </si>
  <si>
    <t>POINT (144.7499176 -38.2623635)</t>
  </si>
  <si>
    <t>Drop camera 30</t>
  </si>
  <si>
    <t>MUI030</t>
  </si>
  <si>
    <t>LINESTRING (144.7414831 -38.2693651, 144.7475144 -38.2613189)</t>
  </si>
  <si>
    <t>Transect 4</t>
  </si>
  <si>
    <t>POINT (144.7414831 -38.2693651)</t>
  </si>
  <si>
    <t>Drop camera 31</t>
  </si>
  <si>
    <t>MUI031</t>
  </si>
  <si>
    <t>POINT (144.7475144 -38.2613189)</t>
  </si>
  <si>
    <t>Drop camera 40</t>
  </si>
  <si>
    <t>MUI040</t>
  </si>
  <si>
    <t>LINESTRING (144.7385863 -38.2680679, 144.7448107 -38.260308)</t>
  </si>
  <si>
    <t>Transect 5</t>
  </si>
  <si>
    <t>POINT (144.7385863 -38.2680679)</t>
  </si>
  <si>
    <t>Drop camera 41</t>
  </si>
  <si>
    <t>MUI041</t>
  </si>
  <si>
    <t>POINT (144.7448107 -38.260308)</t>
  </si>
  <si>
    <t>Drop camera 50</t>
  </si>
  <si>
    <t>MUI050</t>
  </si>
  <si>
    <t>POLYGON ((144.744124 -38.2597014, 144.7375794 -38.2680916, 144.7493811 -38.2731118, 144.7558614 -38.2645368, 144.744124 -38.2597014))</t>
  </si>
  <si>
    <t>Mud Island Polygon</t>
  </si>
  <si>
    <t>Mordialloc Coordinates</t>
  </si>
  <si>
    <t>LINESTRING (145.0779265 -38.0116757, 145.0851006 -38.0173559)</t>
  </si>
  <si>
    <t>Off the west coast of the bay, so this site is best with a westerly wind. The water here is deeper as the dredge for boat traffic</t>
  </si>
  <si>
    <t>POINT (145.0779265 -38.0116757)</t>
  </si>
  <si>
    <t>POINT (145.0851006 -38.0173559)</t>
  </si>
  <si>
    <t>LINESTRING (145.0756807 -38.0131972, 145.0828811 -38.0187965)</t>
  </si>
  <si>
    <t>POINT (145.0756807 -38.0131972)</t>
  </si>
  <si>
    <t>POINT (145.0828811 -38.0187965)</t>
  </si>
  <si>
    <t>LINESTRING (145.0735778 -38.014668, 145.0807261 -38.0203126)</t>
  </si>
  <si>
    <t>POINT (145.0735778 -38.014668)</t>
  </si>
  <si>
    <t>POINT (145.0807261 -38.0203126)</t>
  </si>
  <si>
    <t>LINESTRING (145.0714106 -38.016088, 145.0784408 -38.0217748, 145.0782463 -38.0215096)</t>
  </si>
  <si>
    <t>POINT (145.0714106 -38.016088)</t>
  </si>
  <si>
    <t>POINT (145.0784408 -38.0217748)</t>
  </si>
  <si>
    <t>LINESTRING (145.0690932 -38.0174742, 145.0761846 -38.0233064)</t>
  </si>
  <si>
    <t>POINT (145.0690932 -38.0174742)</t>
  </si>
  <si>
    <t>POINT (145.076177 -38.0232555)</t>
  </si>
  <si>
    <t>POLYGON ((145.0778869 -38.0111346, 145.0682738 -38.0174235, 145.0761702 -38.0238471, 145.0856975 -38.0173221, 145.0778869 -38.0111346))</t>
  </si>
  <si>
    <t>Mordialloc Polygon</t>
  </si>
  <si>
    <t>St Kilda coordinates</t>
  </si>
  <si>
    <t>LINESTRING (144.9540553 -37.860306, 144.9581752 -37.8697246)</t>
  </si>
  <si>
    <t>On the north of the bay, so best with a northerly wind, high traffic area with lots of considerations, liekly to have low visibility</t>
  </si>
  <si>
    <t>POINT (144.9540553 -37.860306)</t>
  </si>
  <si>
    <t>POINT (144.9581752 -37.8697246)</t>
  </si>
  <si>
    <t>LINESTRING (144.9512229 -37.860882, 144.9552999 -37.8699957)</t>
  </si>
  <si>
    <t>POINT (144.9512229 -37.860882)</t>
  </si>
  <si>
    <t>Drop camera11</t>
  </si>
  <si>
    <t>POINT (144.9552999 -37.8699957)</t>
  </si>
  <si>
    <t>LINESTRING (144.9484334 -37.8613225, 144.952682 -37.8706055)</t>
  </si>
  <si>
    <t>Tranesct 3</t>
  </si>
  <si>
    <t>POINT (144.9484334 -37.8613225)</t>
  </si>
  <si>
    <t>POINT (144.952682 -37.8706055)</t>
  </si>
  <si>
    <t>LINESTRING (144.9446139 -37.8621356, 144.9497638 -37.8712491)</t>
  </si>
  <si>
    <t>POINT (144.9446139 -37.8621356)</t>
  </si>
  <si>
    <t>POINT (144.9497638 -37.8712491)</t>
  </si>
  <si>
    <t>LINESTRING (144.9417815 -37.8627116, 144.9464593 -37.8719944)</t>
  </si>
  <si>
    <t>POINT (144.9417815 -37.8627116)</t>
  </si>
  <si>
    <t>POINT (144.9464593 -37.8719944)</t>
  </si>
  <si>
    <t>POLYGON ((144.9409232 -37.8620679, 144.9460301 -37.8725703, 144.959291 -37.8699618, 144.954742 -37.8594929, 144.9409232 -37.8620679))</t>
  </si>
  <si>
    <t>St Kilda Polygon</t>
  </si>
  <si>
    <t>Werribee Coordinates</t>
  </si>
  <si>
    <t>LINESTRING (144.7009977 -37.9750754, 144.6898934 -37.9770121)</t>
  </si>
  <si>
    <t>On the east coast of the bay, this site requires an easterly wind, it is also very near a high nutrient source (werribee river) and holds the potential for a lot of NPS</t>
  </si>
  <si>
    <t>POINT (144.6898934 -37.9770121)</t>
  </si>
  <si>
    <t>WER001</t>
  </si>
  <si>
    <t>POINT (144.7009977 -37.9750754)</t>
  </si>
  <si>
    <t>WER010</t>
  </si>
  <si>
    <t>LINESTRING (144.6906229 -37.979194, 144.7017595 -37.9771941)</t>
  </si>
  <si>
    <t>POINT (144.6906229 -37.979194)</t>
  </si>
  <si>
    <t>WER011</t>
  </si>
  <si>
    <t>POINT (144.7017595 -37.9771941)</t>
  </si>
  <si>
    <t>WER020</t>
  </si>
  <si>
    <t>LINESTRING (144.6914383 -37.9814604, 144.7026392 -37.9794774)</t>
  </si>
  <si>
    <t>POINT (144.6914383 -37.9814604)</t>
  </si>
  <si>
    <t>WER021</t>
  </si>
  <si>
    <t>POINT (144.7026392 -37.9794774)</t>
  </si>
  <si>
    <t>WER030</t>
  </si>
  <si>
    <t>LINESTRING (144.6921464 -37.983659, 144.7033473 -37.9816762)</t>
  </si>
  <si>
    <t>POINT (144.6921464 -37.983659)</t>
  </si>
  <si>
    <t>WER031</t>
  </si>
  <si>
    <t>POINT (144.7033473 -37.9816762)</t>
  </si>
  <si>
    <t>WER040</t>
  </si>
  <si>
    <t>LINESTRING (144.6929404 -37.9857562, 144.7040555 -37.9839425)</t>
  </si>
  <si>
    <t>POINT (144.6929404 -37.9857562)</t>
  </si>
  <si>
    <t>WER041</t>
  </si>
  <si>
    <t>POINT (144.7040555 -37.9839425)</t>
  </si>
  <si>
    <t>WER050</t>
  </si>
  <si>
    <t>POLYGON ((144.7015878 -37.9747415, 144.6894213 -37.9768219, 144.6924039 -37.9863779, 144.7052785 -37.9841962, 144.7015878 -37.9747415))</t>
  </si>
  <si>
    <t>Werribee Polygon</t>
  </si>
  <si>
    <t>St Leonards Coordinates</t>
  </si>
  <si>
    <t>LINESTRING (144.7240694 -38.1668498, 144.7235834 -38.1759862)</t>
  </si>
  <si>
    <t>This is technically a westerly site, but a south/westerly wind would be perfect here, it is at the end of indented head peninsula, and so is kind of in the bay a bit further</t>
  </si>
  <si>
    <t>POINT (144.7240694 -38.1668498)</t>
  </si>
  <si>
    <t>STL001</t>
  </si>
  <si>
    <t>Have had consistent reports of NPS here</t>
  </si>
  <si>
    <t>POINT (144.7235834 -38.1759862)</t>
  </si>
  <si>
    <t>STL010</t>
  </si>
  <si>
    <t>LINESTRING (144.7268814 -38.1668515, 144.7262518 -38.1759778)</t>
  </si>
  <si>
    <t>POINT (144.7268814 -38.1668515)</t>
  </si>
  <si>
    <t>STL011</t>
  </si>
  <si>
    <t>POINT (144.7262518 -38.1759778)</t>
  </si>
  <si>
    <t>STL020</t>
  </si>
  <si>
    <t>LINESTRING (144.7297568 -38.1669527, 144.7292987 -38.1761127)</t>
  </si>
  <si>
    <t>POINT (144.7297568 -38.1669527)</t>
  </si>
  <si>
    <t>STL021</t>
  </si>
  <si>
    <t>POINT (144.7292987 -38.1761127)</t>
  </si>
  <si>
    <t>STL030</t>
  </si>
  <si>
    <t>LINESTRING (144.7327394 -38.1670539, 144.7323243 -38.1761802)</t>
  </si>
  <si>
    <t>POINT (144.7327394 -38.1670539)</t>
  </si>
  <si>
    <t>STL031</t>
  </si>
  <si>
    <t>POINT (144.7323243 -38.1761802)</t>
  </si>
  <si>
    <t>STL040</t>
  </si>
  <si>
    <t>LINESTRING (144.7358679 -38.1671383, 144.7353743 -38.1762645)</t>
  </si>
  <si>
    <t>POINT (144.7358679 -38.1671383)</t>
  </si>
  <si>
    <t>STL041</t>
  </si>
  <si>
    <t>POINT (144.7353743 -38.1762645)</t>
  </si>
  <si>
    <t>STL050</t>
  </si>
  <si>
    <t>POLYGON ((144.7229074 -38.1763489, 144.7361468 -38.1769561, 144.7366833 -38.1667334, 144.7235297 -38.1663791, 144.7229074 -38.1763489))</t>
  </si>
  <si>
    <t>St Leonards Polygon</t>
  </si>
  <si>
    <t>Port Arlington Coordinates</t>
  </si>
  <si>
    <t>LINESTRING (144.6480457 -38.1084198, 144.6596972 -38.1087237)</t>
  </si>
  <si>
    <t>This site is around the bluff from St Leonards, but it gives us options for a southerly wind</t>
  </si>
  <si>
    <t>POINT (144.6480457 -38.1084198)</t>
  </si>
  <si>
    <t>PAR001</t>
  </si>
  <si>
    <t>POINT (144.6596972 -38.1087237)</t>
  </si>
  <si>
    <t>PAR010</t>
  </si>
  <si>
    <t>LINESTRING (144.6480822 -38.106388, 144.6598179 -38.1065737)</t>
  </si>
  <si>
    <t>POINT (144.6480822 -38.106388)</t>
  </si>
  <si>
    <t>PAR011</t>
  </si>
  <si>
    <t>POINT (144.6597552 -38.1065399)</t>
  </si>
  <si>
    <t>PAR020</t>
  </si>
  <si>
    <t>LINESTRING (144.6481895 -38.1041254, 144.6599681 -38.1043787)</t>
  </si>
  <si>
    <t>POINT (144.6481895 -38.1041254)</t>
  </si>
  <si>
    <t>PAR021</t>
  </si>
  <si>
    <t>POINT (144.6599681 -38.104328)</t>
  </si>
  <si>
    <t>PAR030</t>
  </si>
  <si>
    <t>LINESTRING (144.648211 -38.1018122, 144.6598608 -38.1020317)</t>
  </si>
  <si>
    <t>POINT (144.648211 -38.1018122)</t>
  </si>
  <si>
    <t>PAR031</t>
  </si>
  <si>
    <t>POINT (144.6599037 -38.1019135)</t>
  </si>
  <si>
    <t>PAR040</t>
  </si>
  <si>
    <t>LINESTRING (144.6482388 -38.0995046, 144.6599118 -38.0996566)</t>
  </si>
  <si>
    <t>POINT (144.6482388 -38.0995046)</t>
  </si>
  <si>
    <t>PAR041</t>
  </si>
  <si>
    <t>POINT (144.6599118 -38.0996566)</t>
  </si>
  <si>
    <t>PAR050</t>
  </si>
  <si>
    <t>POLYGON ((144.6479303 -38.0991924, 144.6474368 -38.1087661, 144.660011 -38.1089856, 144.6603758 -38.0993612, 144.6479303 -38.0991924))</t>
  </si>
  <si>
    <t>Port Arlington Polygon</t>
  </si>
  <si>
    <t>Sorrento Coordinates</t>
  </si>
  <si>
    <t>LINESTRING (144.7443621 -38.3324227, 144.7524302 -38.3389532)</t>
  </si>
  <si>
    <t xml:space="preserve">Sorrento is historically a hotspot for NPS, there is heavy boat traffic here, but we get the advantage of a southerly wind option and very high water quality as it gets flushed with the </t>
  </si>
  <si>
    <t>POINT (144.7443621 -38.3324227)</t>
  </si>
  <si>
    <t>SOR001</t>
  </si>
  <si>
    <t>heads right there, and is far enough away from estuaries etc</t>
  </si>
  <si>
    <t>POINT (144.7524302 -38.3389532)</t>
  </si>
  <si>
    <t>SOR010</t>
  </si>
  <si>
    <t>LINESTRING (144.7465723 -38.330891, 144.7544997 -38.3374721)</t>
  </si>
  <si>
    <t>POINT (144.7465723 -38.330891)</t>
  </si>
  <si>
    <t>SOR011</t>
  </si>
  <si>
    <t>POINT (144.7545855 -38.3375899)</t>
  </si>
  <si>
    <t>SOR020</t>
  </si>
  <si>
    <t>LINESTRING (144.7486966 -38.3294434, 144.7570746 -38.335789)</t>
  </si>
  <si>
    <t>POINT (144.7486966 -38.3294434)</t>
  </si>
  <si>
    <t>SOR021</t>
  </si>
  <si>
    <t>POINT (144.7570746 -38.335789)</t>
  </si>
  <si>
    <t>SOR030</t>
  </si>
  <si>
    <t>LINESTRING (144.7508209 -38.3280294, 144.7589843 -38.3342068)</t>
  </si>
  <si>
    <t>POINT (144.7508209 -38.3280294)</t>
  </si>
  <si>
    <t>SOR031</t>
  </si>
  <si>
    <t>POINT (144.7588984 -38.33419)</t>
  </si>
  <si>
    <t>SOR040</t>
  </si>
  <si>
    <t>LINESTRING (144.753031 -38.3266322, 144.7607009 -38.3325573)</t>
  </si>
  <si>
    <t>POINT (144.753031 -38.3266322)</t>
  </si>
  <si>
    <t>SOR041</t>
  </si>
  <si>
    <t>POINT (144.7606366 -38.3325742)</t>
  </si>
  <si>
    <t>SOR050</t>
  </si>
  <si>
    <t>POLYGON ((144.7531478 -38.3260431, 144.7435992 -38.3321534, 144.7523753 -38.3394412, 144.7615378 -38.3325742, 144.7531478 -38.3260431))</t>
  </si>
  <si>
    <t>Sorrento Polygon</t>
  </si>
  <si>
    <t>Rye</t>
  </si>
  <si>
    <t>StKilda</t>
  </si>
  <si>
    <t>present_absent</t>
  </si>
  <si>
    <t>sample</t>
  </si>
  <si>
    <t>substrate</t>
  </si>
  <si>
    <t>other_species</t>
  </si>
  <si>
    <t>temp</t>
  </si>
  <si>
    <t>depth</t>
  </si>
  <si>
    <t>long</t>
  </si>
  <si>
    <t>site</t>
  </si>
  <si>
    <t>date</t>
  </si>
  <si>
    <t>notes</t>
  </si>
  <si>
    <t>seagrass</t>
  </si>
  <si>
    <t>seaweed</t>
  </si>
  <si>
    <t>available_prey</t>
  </si>
  <si>
    <t xml:space="preserve">                 </t>
  </si>
  <si>
    <t>The samples highlighted in pink were partially defrosted and then refrozen before filtration</t>
  </si>
  <si>
    <t>MOR041.1</t>
  </si>
  <si>
    <t>MOR041.2</t>
  </si>
  <si>
    <t>MOR041.3</t>
  </si>
  <si>
    <t>RYE021.1</t>
  </si>
  <si>
    <t>MOR030.1</t>
  </si>
  <si>
    <t>RYE039.1</t>
  </si>
  <si>
    <t>RYE016.1</t>
  </si>
  <si>
    <t>RYE021.2</t>
  </si>
  <si>
    <t>RYE021.3</t>
  </si>
  <si>
    <t>MOR030.2</t>
  </si>
  <si>
    <t>MOR030.3</t>
  </si>
  <si>
    <t>RYE039.2</t>
  </si>
  <si>
    <t>RYE039.3</t>
  </si>
  <si>
    <t>RYE016.2</t>
  </si>
  <si>
    <t>RYE016.3</t>
  </si>
  <si>
    <t>RYE031.1</t>
  </si>
  <si>
    <t>RYE031.2</t>
  </si>
  <si>
    <t>RYE031.3</t>
  </si>
  <si>
    <t>RYE007.1</t>
  </si>
  <si>
    <t>RYE007.2</t>
  </si>
  <si>
    <t>RYE007.3</t>
  </si>
  <si>
    <t>RYE035.1</t>
  </si>
  <si>
    <t>RYE035.2</t>
  </si>
  <si>
    <t>RYE035.3</t>
  </si>
  <si>
    <t>RYE033.1</t>
  </si>
  <si>
    <t>RYE033.2</t>
  </si>
  <si>
    <t>RYE033.3</t>
  </si>
  <si>
    <t>RYE009.1</t>
  </si>
  <si>
    <t>RYE009.2</t>
  </si>
  <si>
    <t>RYE009.3</t>
  </si>
  <si>
    <t>RYE029.1</t>
  </si>
  <si>
    <t>RYE029.2</t>
  </si>
  <si>
    <t>RYE029.3</t>
  </si>
  <si>
    <t>RYE037.1</t>
  </si>
  <si>
    <t>RYE037.2</t>
  </si>
  <si>
    <t>RYE037.3</t>
  </si>
  <si>
    <t>MOR031.2</t>
  </si>
  <si>
    <t>MOR031.3</t>
  </si>
  <si>
    <t>STK015.1</t>
  </si>
  <si>
    <t>STK015.2</t>
  </si>
  <si>
    <t>STK015.3</t>
  </si>
  <si>
    <t>STK021.1</t>
  </si>
  <si>
    <t>STK021.2</t>
  </si>
  <si>
    <t>STK021.3</t>
  </si>
  <si>
    <t>MOR009.1</t>
  </si>
  <si>
    <t>MOR009.2</t>
  </si>
  <si>
    <t>MOR009.3</t>
  </si>
  <si>
    <t>STK024.1</t>
  </si>
  <si>
    <t>STK024.2</t>
  </si>
  <si>
    <t>STK024.3</t>
  </si>
  <si>
    <t>MOR019.1</t>
  </si>
  <si>
    <t>MOR019.2</t>
  </si>
  <si>
    <t>MOR019.3</t>
  </si>
  <si>
    <t>STK032.1</t>
  </si>
  <si>
    <t>STK032.2</t>
  </si>
  <si>
    <t>STK032.3</t>
  </si>
  <si>
    <t>RYE019.1</t>
  </si>
  <si>
    <t>RYE019.2</t>
  </si>
  <si>
    <t>RYE019.3</t>
  </si>
  <si>
    <t>RYE026.1</t>
  </si>
  <si>
    <t>RYE026.2</t>
  </si>
  <si>
    <t>RYE026.3</t>
  </si>
  <si>
    <t>RYE047.1</t>
  </si>
  <si>
    <t>RYE047.2</t>
  </si>
  <si>
    <t>STK008.1</t>
  </si>
  <si>
    <t>STK008.2</t>
  </si>
  <si>
    <t>STK008.3</t>
  </si>
  <si>
    <t>STK029.1</t>
  </si>
  <si>
    <t>STK029.2</t>
  </si>
  <si>
    <t>STK029.3</t>
  </si>
  <si>
    <t>RYE049.1</t>
  </si>
  <si>
    <t>RYE049.2</t>
  </si>
  <si>
    <t>RYE049.3</t>
  </si>
  <si>
    <t>STK017.1</t>
  </si>
  <si>
    <t>STK017.2</t>
  </si>
  <si>
    <t>STK017.3</t>
  </si>
  <si>
    <t>STK045.1</t>
  </si>
  <si>
    <t>STK045.2</t>
  </si>
  <si>
    <t>STK045.3</t>
  </si>
  <si>
    <t>STK030.1</t>
  </si>
  <si>
    <t>STK030.2</t>
  </si>
  <si>
    <t>STK030.3</t>
  </si>
  <si>
    <t>STK004.1</t>
  </si>
  <si>
    <t>STK004.2</t>
  </si>
  <si>
    <t>STK004.3</t>
  </si>
  <si>
    <t>STK039.1</t>
  </si>
  <si>
    <t>STK039.2</t>
  </si>
  <si>
    <t>STK039.3</t>
  </si>
  <si>
    <t>STD 3</t>
  </si>
  <si>
    <t>STD 4</t>
  </si>
  <si>
    <t xml:space="preserve">MOR040.1   </t>
  </si>
  <si>
    <t xml:space="preserve">MOR040.2   </t>
  </si>
  <si>
    <t xml:space="preserve">MOR040.3   </t>
  </si>
  <si>
    <t xml:space="preserve">MOR050.1   </t>
  </si>
  <si>
    <t xml:space="preserve">MOR050.2   </t>
  </si>
  <si>
    <t xml:space="preserve">MOR050.3   </t>
  </si>
  <si>
    <t>10^9</t>
  </si>
  <si>
    <t>10^3</t>
  </si>
  <si>
    <t>STK033.1</t>
  </si>
  <si>
    <t>STK033.2</t>
  </si>
  <si>
    <t>STK033.3</t>
  </si>
  <si>
    <t>STK025.1</t>
  </si>
  <si>
    <t>STK025.2</t>
  </si>
  <si>
    <t>STK025.3</t>
  </si>
  <si>
    <t>MOR006.1</t>
  </si>
  <si>
    <t>MOR006.2</t>
  </si>
  <si>
    <t>MOR006.3</t>
  </si>
  <si>
    <t>STK031.1</t>
  </si>
  <si>
    <t>STK031.2</t>
  </si>
  <si>
    <t>STK031.3</t>
  </si>
  <si>
    <t>MOR011.1</t>
  </si>
  <si>
    <t>MOR011.2</t>
  </si>
  <si>
    <t>MOR011.3</t>
  </si>
  <si>
    <t>MOR029.1</t>
  </si>
  <si>
    <t>MOR029.2</t>
  </si>
  <si>
    <t>MOR029.3</t>
  </si>
  <si>
    <t>STK044.1</t>
  </si>
  <si>
    <t>STK044.2</t>
  </si>
  <si>
    <t>STK044.3</t>
  </si>
  <si>
    <t>STK042.1</t>
  </si>
  <si>
    <t>STK042.2</t>
  </si>
  <si>
    <t>STK042.3</t>
  </si>
  <si>
    <t>RYE038.1</t>
  </si>
  <si>
    <t>RYE038.2</t>
  </si>
  <si>
    <t>RYE038.3</t>
  </si>
  <si>
    <t>STK010.1</t>
  </si>
  <si>
    <t>STK010.2</t>
  </si>
  <si>
    <t>STK010.3</t>
  </si>
  <si>
    <t>MOR040.1</t>
  </si>
  <si>
    <t>MOR040.2</t>
  </si>
  <si>
    <t>MOR040.3</t>
  </si>
  <si>
    <t>MOR050.1</t>
  </si>
  <si>
    <t>MOR050.2</t>
  </si>
  <si>
    <t>MOR050.3</t>
  </si>
  <si>
    <t>MOR038.1</t>
  </si>
  <si>
    <t>MOR038.2</t>
  </si>
  <si>
    <t>MOR038.3</t>
  </si>
  <si>
    <t>RYE022.1</t>
  </si>
  <si>
    <t>RYE022.2</t>
  </si>
  <si>
    <t>RYE022.3</t>
  </si>
  <si>
    <t>RYE006.1</t>
  </si>
  <si>
    <t>RYE006.2</t>
  </si>
  <si>
    <t>RYE006.3</t>
  </si>
  <si>
    <t>STK016.1</t>
  </si>
  <si>
    <t>STK016.2</t>
  </si>
  <si>
    <t>STK016.3</t>
  </si>
  <si>
    <t>MOR043.1</t>
  </si>
  <si>
    <t>MOR043.2</t>
  </si>
  <si>
    <t>MOR043.3</t>
  </si>
  <si>
    <t>RYE004.1</t>
  </si>
  <si>
    <t>RYE004.2</t>
  </si>
  <si>
    <t>RYE004.3</t>
  </si>
  <si>
    <t>RYE030.1</t>
  </si>
  <si>
    <t>RYE030.2</t>
  </si>
  <si>
    <t>RYE030.3</t>
  </si>
  <si>
    <t>MOR013.1</t>
  </si>
  <si>
    <t>MOR013.2</t>
  </si>
  <si>
    <t>MOR013.3</t>
  </si>
  <si>
    <t>RYE005.1</t>
  </si>
  <si>
    <t>RYE005.2</t>
  </si>
  <si>
    <t>RYE005.3</t>
  </si>
  <si>
    <t>STK023.1</t>
  </si>
  <si>
    <t>STK023.2</t>
  </si>
  <si>
    <t>STK023.3</t>
  </si>
  <si>
    <t>MOR008.1</t>
  </si>
  <si>
    <t>MOR008.2</t>
  </si>
  <si>
    <t>MOR008.3</t>
  </si>
  <si>
    <t>STK041.1</t>
  </si>
  <si>
    <t>STK041.2</t>
  </si>
  <si>
    <t>STK041.3</t>
  </si>
  <si>
    <t>MOR049.1</t>
  </si>
  <si>
    <t>MOR049.2</t>
  </si>
  <si>
    <t>MOR049.3</t>
  </si>
  <si>
    <t>RYE027.1</t>
  </si>
  <si>
    <t>RYE027.2</t>
  </si>
  <si>
    <t>RYE027.3</t>
  </si>
  <si>
    <t>MOR046.1</t>
  </si>
  <si>
    <t>MOR046.2</t>
  </si>
  <si>
    <t>MOR046.3</t>
  </si>
  <si>
    <t>RYE011.1</t>
  </si>
  <si>
    <t>RYE011.2</t>
  </si>
  <si>
    <t>RYE011.3</t>
  </si>
  <si>
    <t>RYE034.1</t>
  </si>
  <si>
    <t>RYE034.2</t>
  </si>
  <si>
    <t>RYE034.3</t>
  </si>
  <si>
    <t>RYE023.1</t>
  </si>
  <si>
    <t>RYE023.2</t>
  </si>
  <si>
    <t>RYE023.3</t>
  </si>
  <si>
    <t>MOR027.1</t>
  </si>
  <si>
    <t>MOR027.2</t>
  </si>
  <si>
    <t>MOR027.3</t>
  </si>
  <si>
    <t>RYE020.1</t>
  </si>
  <si>
    <t>RYE020.2</t>
  </si>
  <si>
    <t>RYE020.3</t>
  </si>
  <si>
    <t>MOR039.1</t>
  </si>
  <si>
    <t>MOR039.2</t>
  </si>
  <si>
    <t>STK005.1</t>
  </si>
  <si>
    <t>STK005.2</t>
  </si>
  <si>
    <t>STK005.3</t>
  </si>
  <si>
    <t>MOR033.1</t>
  </si>
  <si>
    <t>MOR033.2</t>
  </si>
  <si>
    <t>MOR033.3</t>
  </si>
  <si>
    <t>RYE036.1</t>
  </si>
  <si>
    <t>RYE036.2</t>
  </si>
  <si>
    <t>RYE036.3</t>
  </si>
  <si>
    <t>MOR032.1</t>
  </si>
  <si>
    <t>MOR032.2</t>
  </si>
  <si>
    <t>MOR032.3</t>
  </si>
  <si>
    <t>STK026.1</t>
  </si>
  <si>
    <t>STK026.2</t>
  </si>
  <si>
    <t>STK026.3</t>
  </si>
  <si>
    <t>RYE001.1</t>
  </si>
  <si>
    <t>RYE001.2</t>
  </si>
  <si>
    <t>RYE001.3</t>
  </si>
  <si>
    <t>RYE018.1</t>
  </si>
  <si>
    <t>RYE018.2</t>
  </si>
  <si>
    <t>RYE018.3</t>
  </si>
  <si>
    <t>MOR045.1</t>
  </si>
  <si>
    <t>MOR045.2</t>
  </si>
  <si>
    <t>MOR045.3</t>
  </si>
  <si>
    <t>MOR047.1</t>
  </si>
  <si>
    <t>MOR047.2</t>
  </si>
  <si>
    <t>MOR047.3</t>
  </si>
  <si>
    <t>RYE024.1</t>
  </si>
  <si>
    <t>RYE024.2</t>
  </si>
  <si>
    <t>RYE024.3</t>
  </si>
  <si>
    <t>STK009.1</t>
  </si>
  <si>
    <t>STK009.2</t>
  </si>
  <si>
    <t>STK009.3</t>
  </si>
  <si>
    <t>STK002.1</t>
  </si>
  <si>
    <t>STK002.2</t>
  </si>
  <si>
    <t>STK002.3</t>
  </si>
  <si>
    <t>MOR025.1</t>
  </si>
  <si>
    <t>MOR025.2</t>
  </si>
  <si>
    <t>MOR025.3</t>
  </si>
  <si>
    <t>RYE048.1</t>
  </si>
  <si>
    <t>RYE048.2</t>
  </si>
  <si>
    <t>RYE048.3</t>
  </si>
  <si>
    <t>MOR042.1</t>
  </si>
  <si>
    <t>MOR042.2</t>
  </si>
  <si>
    <t>MOR042.3</t>
  </si>
  <si>
    <t>MOR023.1</t>
  </si>
  <si>
    <t>MOR023.2</t>
  </si>
  <si>
    <t>MOR023.3</t>
  </si>
  <si>
    <t>STK034.1</t>
  </si>
  <si>
    <t>STK034.2</t>
  </si>
  <si>
    <t>STK034.3</t>
  </si>
  <si>
    <t>STK020.1</t>
  </si>
  <si>
    <t>STK020.2</t>
  </si>
  <si>
    <t>STK020.3</t>
  </si>
  <si>
    <t>STK049.1</t>
  </si>
  <si>
    <t>STK049.2</t>
  </si>
  <si>
    <t>STK049.3</t>
  </si>
  <si>
    <t>MOR004.1</t>
  </si>
  <si>
    <t>MOR004.2</t>
  </si>
  <si>
    <t>MOR004.3</t>
  </si>
  <si>
    <t>MOR022.1</t>
  </si>
  <si>
    <t>MOR022.2</t>
  </si>
  <si>
    <t>MOR022.3</t>
  </si>
  <si>
    <t>STK028.1</t>
  </si>
  <si>
    <t>STK028.2</t>
  </si>
  <si>
    <t>STK028.3</t>
  </si>
  <si>
    <t>RYE012.1</t>
  </si>
  <si>
    <t>RYE012.2</t>
  </si>
  <si>
    <t>RYE012.3</t>
  </si>
  <si>
    <t>MOR014.1</t>
  </si>
  <si>
    <t>MOR014.2</t>
  </si>
  <si>
    <t>MOR014.3</t>
  </si>
  <si>
    <t>MOR031.1</t>
  </si>
  <si>
    <t>RYE002.1</t>
  </si>
  <si>
    <t>RYE002.2</t>
  </si>
  <si>
    <t>RYE002.3</t>
  </si>
  <si>
    <t>STK013.1</t>
  </si>
  <si>
    <t>STK013.2</t>
  </si>
  <si>
    <t>STK013.3</t>
  </si>
  <si>
    <t>RYE041.1</t>
  </si>
  <si>
    <t>RYE041.2</t>
  </si>
  <si>
    <t>RYE041.3</t>
  </si>
  <si>
    <t>STK037.1</t>
  </si>
  <si>
    <t>STK037.2</t>
  </si>
  <si>
    <t>STK037.3</t>
  </si>
  <si>
    <t>STK012.1</t>
  </si>
  <si>
    <t>STK012.2</t>
  </si>
  <si>
    <t>STK012.3</t>
  </si>
  <si>
    <t>STK047.1</t>
  </si>
  <si>
    <t>STK047.2</t>
  </si>
  <si>
    <t>STK047.3</t>
  </si>
  <si>
    <t>RYE032.2</t>
  </si>
  <si>
    <t>RYE032.1</t>
  </si>
  <si>
    <t>RYE032.3</t>
  </si>
  <si>
    <t>MOR044.1</t>
  </si>
  <si>
    <t>MOR044.2</t>
  </si>
  <si>
    <t>MOR044.3</t>
  </si>
  <si>
    <t>RYE015.1</t>
  </si>
  <si>
    <t>RYE015.2</t>
  </si>
  <si>
    <t>RYE015.3</t>
  </si>
  <si>
    <t>RYE040.1</t>
  </si>
  <si>
    <t>RYE040.2</t>
  </si>
  <si>
    <t>RYE040.3</t>
  </si>
  <si>
    <t>RYE025.1</t>
  </si>
  <si>
    <t>RYE025.2</t>
  </si>
  <si>
    <t>RYE025.3</t>
  </si>
  <si>
    <t>STK019.1</t>
  </si>
  <si>
    <t>STK019.2</t>
  </si>
  <si>
    <t>STK019.3</t>
  </si>
  <si>
    <t>MOR016.1</t>
  </si>
  <si>
    <t>MOR016.2</t>
  </si>
  <si>
    <t>MOR016.3</t>
  </si>
  <si>
    <t>RYE042.1</t>
  </si>
  <si>
    <t>RYE042.2</t>
  </si>
  <si>
    <t>RYE042.3</t>
  </si>
  <si>
    <t>RYE046.1</t>
  </si>
  <si>
    <t>RYE046.2</t>
  </si>
  <si>
    <t>RYE046.3</t>
  </si>
  <si>
    <t>RYE013.1</t>
  </si>
  <si>
    <t>RYE013.2</t>
  </si>
  <si>
    <t>RYE013.3</t>
  </si>
  <si>
    <t>MOR003.1</t>
  </si>
  <si>
    <t>MOR003.2</t>
  </si>
  <si>
    <t>MOR003.3</t>
  </si>
  <si>
    <t>MOR015.1</t>
  </si>
  <si>
    <t>MOR015.2</t>
  </si>
  <si>
    <t>MOR015.3</t>
  </si>
  <si>
    <t>MOR007.1</t>
  </si>
  <si>
    <t>MOR007.2</t>
  </si>
  <si>
    <t>MOR007.3</t>
  </si>
  <si>
    <t>STK007.1</t>
  </si>
  <si>
    <t>STK007.2</t>
  </si>
  <si>
    <t>STK007.3</t>
  </si>
  <si>
    <t>STK014.1</t>
  </si>
  <si>
    <t>STK014.2</t>
  </si>
  <si>
    <t>STK014.3</t>
  </si>
  <si>
    <t>MOR021.1</t>
  </si>
  <si>
    <t>MOR021.2</t>
  </si>
  <si>
    <t>STK003.1</t>
  </si>
  <si>
    <t>STK003.2</t>
  </si>
  <si>
    <t>STK003.3</t>
  </si>
  <si>
    <t>MOR021.3</t>
  </si>
  <si>
    <t>RYE044.1</t>
  </si>
  <si>
    <t>RYE044.2</t>
  </si>
  <si>
    <t>RYE044.3</t>
  </si>
  <si>
    <t>STK035.1</t>
  </si>
  <si>
    <t>STK035.2</t>
  </si>
  <si>
    <t>STK035.3</t>
  </si>
  <si>
    <t>STK036.1</t>
  </si>
  <si>
    <t>STK036.2</t>
  </si>
  <si>
    <t>STK036.3</t>
  </si>
  <si>
    <t>STK011.1</t>
  </si>
  <si>
    <t>STK011.2</t>
  </si>
  <si>
    <t>STK011.3</t>
  </si>
  <si>
    <t>MOR010.1</t>
  </si>
  <si>
    <t>MOR010.2</t>
  </si>
  <si>
    <t>MOR010.3</t>
  </si>
  <si>
    <t>MOR017.1</t>
  </si>
  <si>
    <t>MOR017.2</t>
  </si>
  <si>
    <t>MOR017.3</t>
  </si>
  <si>
    <t>STK018.1</t>
  </si>
  <si>
    <t>STK018.2</t>
  </si>
  <si>
    <t>STK018.3</t>
  </si>
  <si>
    <t>STK038.1</t>
  </si>
  <si>
    <t>STK038.2</t>
  </si>
  <si>
    <t>STK038.3</t>
  </si>
  <si>
    <t>STK046.1</t>
  </si>
  <si>
    <t>STK046.2</t>
  </si>
  <si>
    <t>STK046.3</t>
  </si>
  <si>
    <t>RYE008.1</t>
  </si>
  <si>
    <t>RYE008.2</t>
  </si>
  <si>
    <t>RYE008.3</t>
  </si>
  <si>
    <t>STK050.1</t>
  </si>
  <si>
    <t>STK050.2</t>
  </si>
  <si>
    <t>STK050.3</t>
  </si>
  <si>
    <t>STK022.1</t>
  </si>
  <si>
    <t>STK022.2</t>
  </si>
  <si>
    <t>STK022.3</t>
  </si>
  <si>
    <t>MOR037.1</t>
  </si>
  <si>
    <t>MOR037.2</t>
  </si>
  <si>
    <t>MOR037.3</t>
  </si>
  <si>
    <t>RYE017.1</t>
  </si>
  <si>
    <t>RYE017.2</t>
  </si>
  <si>
    <t>RYE017.3</t>
  </si>
  <si>
    <t>RYE043.1</t>
  </si>
  <si>
    <t>RYE043.2</t>
  </si>
  <si>
    <t>RYE043.3</t>
  </si>
  <si>
    <t>RYE050.1</t>
  </si>
  <si>
    <t>RYE050.3</t>
  </si>
  <si>
    <t>RYE050.2</t>
  </si>
  <si>
    <t>MOR020.1</t>
  </si>
  <si>
    <t>MOR020.2</t>
  </si>
  <si>
    <t>MOR020.3</t>
  </si>
  <si>
    <t>MOR002.1</t>
  </si>
  <si>
    <t>MOR002.2</t>
  </si>
  <si>
    <t>MOR002.3</t>
  </si>
  <si>
    <t>STK043.1</t>
  </si>
  <si>
    <t>STK043.2</t>
  </si>
  <si>
    <t>STK043.3</t>
  </si>
  <si>
    <t>STK040.1</t>
  </si>
  <si>
    <t>STK040.2</t>
  </si>
  <si>
    <t>STK040.3</t>
  </si>
  <si>
    <t>MOR018.1</t>
  </si>
  <si>
    <t>MOR018.2</t>
  </si>
  <si>
    <t>MOR018.3</t>
  </si>
  <si>
    <t>MOR012.1</t>
  </si>
  <si>
    <t>MOR012.2</t>
  </si>
  <si>
    <t>MOR012.3</t>
  </si>
  <si>
    <t>MOR005.1</t>
  </si>
  <si>
    <t>MOR005.2</t>
  </si>
  <si>
    <t>MOR005.3</t>
  </si>
  <si>
    <t>RYE045.1</t>
  </si>
  <si>
    <t>RYE045.2</t>
  </si>
  <si>
    <t>RYE045.3</t>
  </si>
  <si>
    <t>STK006.1</t>
  </si>
  <si>
    <t>STK006.2</t>
  </si>
  <si>
    <t>STK006.3</t>
  </si>
  <si>
    <t>RYE010.1</t>
  </si>
  <si>
    <t>RYE010.2</t>
  </si>
  <si>
    <t>RYE010.3</t>
  </si>
  <si>
    <t>STK048.1</t>
  </si>
  <si>
    <t>STK048.2</t>
  </si>
  <si>
    <t>STK048.3</t>
  </si>
  <si>
    <t>MOR001.1</t>
  </si>
  <si>
    <t>MOR001.2</t>
  </si>
  <si>
    <t>MOR001.3</t>
  </si>
  <si>
    <t>MOR048.1</t>
  </si>
  <si>
    <t>MOR048.2</t>
  </si>
  <si>
    <t>MOR048.3</t>
  </si>
  <si>
    <t>MOR034.1</t>
  </si>
  <si>
    <t>MOR034.2</t>
  </si>
  <si>
    <t>MOR034.3</t>
  </si>
  <si>
    <t>MOR028.1</t>
  </si>
  <si>
    <t>MOR028.2</t>
  </si>
  <si>
    <t>MOR028.3</t>
  </si>
  <si>
    <t>MOR035.1</t>
  </si>
  <si>
    <t>MOR035.2</t>
  </si>
  <si>
    <t>MOR035.3</t>
  </si>
  <si>
    <t>RYE014.1</t>
  </si>
  <si>
    <t>RYE014.2</t>
  </si>
  <si>
    <t>RYE014.3</t>
  </si>
  <si>
    <t>MOR036.1</t>
  </si>
  <si>
    <t>MOR036.2</t>
  </si>
  <si>
    <t>MOR036.3</t>
  </si>
  <si>
    <t>RYE028.1</t>
  </si>
  <si>
    <t>RYE028.2</t>
  </si>
  <si>
    <t>RYE028.3</t>
  </si>
  <si>
    <t>MOR024.1</t>
  </si>
  <si>
    <t>MOR024.2</t>
  </si>
  <si>
    <t>MOR024.3</t>
  </si>
  <si>
    <t>STK001.1</t>
  </si>
  <si>
    <t>STK001.2</t>
  </si>
  <si>
    <t>STK001.3</t>
  </si>
  <si>
    <t>RYE003.1</t>
  </si>
  <si>
    <t>RYE003.2</t>
  </si>
  <si>
    <t>RYE003.3</t>
  </si>
  <si>
    <t>MOR026.1</t>
  </si>
  <si>
    <t>MOR026.2</t>
  </si>
  <si>
    <t>MOR026.3</t>
  </si>
  <si>
    <t>well_type</t>
  </si>
  <si>
    <t>well_name</t>
  </si>
  <si>
    <t>cq_(∆r)</t>
  </si>
  <si>
    <t xml:space="preserve">quantity_(nanograms)   </t>
  </si>
  <si>
    <t xml:space="preserve">r²_(∆r)                </t>
  </si>
  <si>
    <t xml:space="preserve">slope_(∆r)             </t>
  </si>
  <si>
    <t xml:space="preserve">efficiency_(%)         </t>
  </si>
  <si>
    <t>quantity_(copies)</t>
  </si>
  <si>
    <t>r²_(∆r)</t>
  </si>
  <si>
    <t>slope_(∆r)</t>
  </si>
  <si>
    <t>efficiency_(%)</t>
  </si>
  <si>
    <t xml:space="preserve">STD 9    </t>
  </si>
  <si>
    <t xml:space="preserve">10^9    </t>
  </si>
  <si>
    <t>STD 1</t>
  </si>
  <si>
    <t>STD 2</t>
  </si>
  <si>
    <t xml:space="preserve">STD 0 </t>
  </si>
  <si>
    <t xml:space="preserve">STD 4 </t>
  </si>
  <si>
    <t xml:space="preserve">STD 5 </t>
  </si>
  <si>
    <t xml:space="preserve">STD 6 </t>
  </si>
  <si>
    <t xml:space="preserve">STD 7 </t>
  </si>
  <si>
    <t xml:space="preserve">STD 8 </t>
  </si>
  <si>
    <t xml:space="preserve">STD 2   </t>
  </si>
  <si>
    <t xml:space="preserve">STD 8   </t>
  </si>
  <si>
    <t xml:space="preserve">STD 6   </t>
  </si>
  <si>
    <t xml:space="preserve">STD 7    </t>
  </si>
  <si>
    <t xml:space="preserve">STD 3    </t>
  </si>
  <si>
    <t xml:space="preserve">10^2   </t>
  </si>
  <si>
    <t xml:space="preserve">10^8   </t>
  </si>
  <si>
    <t xml:space="preserve">10^1    </t>
  </si>
  <si>
    <t xml:space="preserve">10^6   </t>
  </si>
  <si>
    <t xml:space="preserve">10^7    </t>
  </si>
  <si>
    <t xml:space="preserve">10^3    </t>
  </si>
  <si>
    <t>STD 5</t>
  </si>
  <si>
    <t>STD 9</t>
  </si>
  <si>
    <t>qpcr_1</t>
  </si>
  <si>
    <t>qpcr_2</t>
  </si>
  <si>
    <t>qpcr_3</t>
  </si>
  <si>
    <t>No Cq</t>
  </si>
  <si>
    <t>RYE047.3</t>
  </si>
  <si>
    <t>MOR039.3</t>
  </si>
  <si>
    <t>STK027.1</t>
  </si>
  <si>
    <t>STK027.2</t>
  </si>
  <si>
    <t>STK027.3</t>
  </si>
  <si>
    <t>avg_qpcr</t>
  </si>
  <si>
    <t>present_absent_video_binary</t>
  </si>
  <si>
    <t>ct_below_lod</t>
  </si>
  <si>
    <t>Video</t>
  </si>
  <si>
    <t>eDNA</t>
  </si>
  <si>
    <t>Video detections</t>
  </si>
  <si>
    <t>eDNA detections</t>
  </si>
  <si>
    <t>Category</t>
  </si>
  <si>
    <t>Count</t>
  </si>
  <si>
    <t>Percentage</t>
  </si>
  <si>
    <t>Video+/eDNA+</t>
  </si>
  <si>
    <t>Video+/eDNA-</t>
  </si>
  <si>
    <t>Video-/eDNA+</t>
  </si>
  <si>
    <t>Video-/eDNA-</t>
  </si>
  <si>
    <t>Site_ID</t>
  </si>
  <si>
    <t>Video_Detection</t>
  </si>
  <si>
    <t>eDNA_Detection</t>
  </si>
  <si>
    <t>Agreement</t>
  </si>
  <si>
    <t>Method</t>
  </si>
  <si>
    <t>Detection_Rate</t>
  </si>
  <si>
    <t>Detection_Percent</t>
  </si>
  <si>
    <t>Total_Detections</t>
  </si>
  <si>
    <t>Total_Sites</t>
  </si>
  <si>
    <t>CI_Lower</t>
  </si>
  <si>
    <t>CI_Upper</t>
  </si>
  <si>
    <t>CI_Lower_Percent</t>
  </si>
  <si>
    <t>CI_Upper_Percent</t>
  </si>
  <si>
    <t>Test</t>
  </si>
  <si>
    <t>Value</t>
  </si>
  <si>
    <t>Interpretation</t>
  </si>
  <si>
    <t>McNemar's Chi-squared</t>
  </si>
  <si>
    <t>Higher values indicate greater difference between methods</t>
  </si>
  <si>
    <t>McNemar's p-value</t>
  </si>
  <si>
    <t>Significant difference between methods</t>
  </si>
  <si>
    <t>Exact McNemar's p-value</t>
  </si>
  <si>
    <t>Odds Ratio (eDNA+/Video- vs Video+/eDNA-)</t>
  </si>
  <si>
    <t>How many times more likely eDNA detects when video doesn't vs. vice versa</t>
  </si>
  <si>
    <t>Overall Agreement</t>
  </si>
  <si>
    <t>78% of sites had same result from both methods</t>
  </si>
  <si>
    <t>Cohen's Kappa</t>
  </si>
  <si>
    <t>Slight agreement</t>
  </si>
  <si>
    <t>Kappa 95% CI Lower</t>
  </si>
  <si>
    <t>Lower bound of 95% confidence interval for Cohen's Kappa</t>
  </si>
  <si>
    <t>Kappa 95% CI Upper</t>
  </si>
  <si>
    <t>Upper bound of 95% confidence interval for Cohen's Kappa</t>
  </si>
  <si>
    <t>Proportion Test Chi-squared</t>
  </si>
  <si>
    <t>Higher values indicate greater difference in detection rates</t>
  </si>
  <si>
    <t>Proportion Test p-value</t>
  </si>
  <si>
    <t>Significant difference in detection rates</t>
  </si>
  <si>
    <t>P(eDNA+ | Video+)</t>
  </si>
  <si>
    <t>Probability eDNA detects given video detects</t>
  </si>
  <si>
    <t>P(Video+ | eDNA+)</t>
  </si>
  <si>
    <t>Probability video detects given eDNA detects</t>
  </si>
  <si>
    <t>Statistic</t>
  </si>
  <si>
    <t>Total sites surveyed</t>
  </si>
  <si>
    <t>Video detection rate (%)</t>
  </si>
  <si>
    <t>eDNA detection rate (%)</t>
  </si>
  <si>
    <t>Both methods detected (sites)</t>
  </si>
  <si>
    <t>Only video detected (sites)</t>
  </si>
  <si>
    <t>Only eDNA detected (sites)</t>
  </si>
  <si>
    <t>Neither method detected (sites)</t>
  </si>
  <si>
    <t>Overall agreement rate (%)</t>
  </si>
  <si>
    <t>Agreement on positive detections (%)</t>
  </si>
  <si>
    <t>P(eDNA+ | Video+) (%)</t>
  </si>
  <si>
    <t>P(Video+ | eDNA+) (%)</t>
  </si>
  <si>
    <t>Label</t>
  </si>
  <si>
    <t>Both detected</t>
  </si>
  <si>
    <t>Both detected
1 sites
(0.7%)</t>
  </si>
  <si>
    <t>Video only</t>
  </si>
  <si>
    <t>Video only
7 sites
(4.7%)</t>
  </si>
  <si>
    <t>eDNA only</t>
  </si>
  <si>
    <t>eDNA only
26 sites
(17.3%)</t>
  </si>
  <si>
    <t>Neither detected</t>
  </si>
  <si>
    <t>Neither detected
116 sites
(77.3%)</t>
  </si>
  <si>
    <t>Factor</t>
  </si>
  <si>
    <t>Level</t>
  </si>
  <si>
    <t>Video_Detections</t>
  </si>
  <si>
    <t>Video_Rate</t>
  </si>
  <si>
    <t>eDNA_Detections</t>
  </si>
  <si>
    <t>eDNA_Rate</t>
  </si>
  <si>
    <t>Temperature</t>
  </si>
  <si>
    <t>Low</t>
  </si>
  <si>
    <t>Medium-Low</t>
  </si>
  <si>
    <t>Medium-High</t>
  </si>
  <si>
    <t>High</t>
  </si>
  <si>
    <t>Depth</t>
  </si>
  <si>
    <t>Shallow</t>
  </si>
  <si>
    <t>Medium-Shallow</t>
  </si>
  <si>
    <t>Medium-Deep</t>
  </si>
  <si>
    <t>Deep</t>
  </si>
  <si>
    <t>Seagrass</t>
  </si>
  <si>
    <t>0</t>
  </si>
  <si>
    <t>1</t>
  </si>
  <si>
    <t>2</t>
  </si>
  <si>
    <t>Seaweed</t>
  </si>
  <si>
    <t>Available Prey</t>
  </si>
  <si>
    <t>video_detection</t>
  </si>
  <si>
    <t>edna_detection</t>
  </si>
  <si>
    <t>temperature</t>
  </si>
  <si>
    <t>prey</t>
  </si>
  <si>
    <t>Seagrass present</t>
  </si>
  <si>
    <t>seagrass absent</t>
  </si>
  <si>
    <t>Video rate</t>
  </si>
  <si>
    <t>eDNA rate</t>
  </si>
  <si>
    <t>Seaweede present</t>
  </si>
  <si>
    <t>seaweed absent</t>
  </si>
  <si>
    <t>Available Prey Present</t>
  </si>
  <si>
    <t>Available Prey Absent</t>
  </si>
  <si>
    <t>Average_CT_MOR</t>
  </si>
  <si>
    <t>Average_CT_RYE</t>
  </si>
  <si>
    <t>Average_CT_STK</t>
  </si>
  <si>
    <t>site_id</t>
  </si>
  <si>
    <t>location</t>
  </si>
  <si>
    <t>camera_detection</t>
  </si>
  <si>
    <t>mor</t>
  </si>
  <si>
    <t>rye</t>
  </si>
  <si>
    <t>stk</t>
  </si>
  <si>
    <t>Summary table of standards</t>
  </si>
  <si>
    <t>Plate</t>
  </si>
  <si>
    <t>Standards</t>
  </si>
  <si>
    <t>Slope</t>
  </si>
  <si>
    <t>STD 4 &amp; 9</t>
  </si>
  <si>
    <t>STD 2 &amp; 8</t>
  </si>
  <si>
    <t>STD 1 &amp; 6</t>
  </si>
  <si>
    <t>STD 3 &amp; 7</t>
  </si>
  <si>
    <t>STD 1 &amp; 5</t>
  </si>
  <si>
    <t>Efficiency %</t>
  </si>
  <si>
    <r>
      <t>R</t>
    </r>
    <r>
      <rPr>
        <b/>
        <vertAlign val="superscript"/>
        <sz val="11"/>
        <color theme="1"/>
        <rFont val="Aptos Narrow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</si>
</sst>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0" xfId="0" applyFill="1"/>
    <xf numFmtId="14" fontId="0" fillId="7" borderId="0" xfId="0" applyNumberFormat="1" applyFill="1"/>
    <xf numFmtId="0" fontId="0" fillId="2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8" borderId="1" xfId="0" applyFill="1" applyBorder="1"/>
    <xf numFmtId="0" fontId="0" fillId="7" borderId="1" xfId="0" applyFill="1" applyBorder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47" fontId="0" fillId="0" borderId="0" xfId="0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0" xfId="1" applyNumberFormat="1" applyFont="1"/>
    <xf numFmtId="165" fontId="0" fillId="0" borderId="1" xfId="0" applyNumberFormat="1" applyBorder="1"/>
    <xf numFmtId="0" fontId="2" fillId="0" borderId="0" xfId="0" applyFont="1"/>
    <xf numFmtId="0" fontId="2" fillId="0" borderId="1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Sea Star Detection Rates By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 star detection analysis'!$C$1</c:f>
              <c:strCache>
                <c:ptCount val="1"/>
                <c:pt idx="0">
                  <c:v>Detection_Percent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0F-407F-A7A0-8DF99593856F}"/>
              </c:ext>
            </c:extLst>
          </c:dPt>
          <c:cat>
            <c:strRef>
              <c:f>'Sea star detection analysis'!$A$2:$A$3</c:f>
              <c:strCache>
                <c:ptCount val="2"/>
                <c:pt idx="0">
                  <c:v>Video</c:v>
                </c:pt>
                <c:pt idx="1">
                  <c:v>eDNA</c:v>
                </c:pt>
              </c:strCache>
            </c:strRef>
          </c:cat>
          <c:val>
            <c:numRef>
              <c:f>'Sea star detection analysis'!$C$2:$C$3</c:f>
              <c:numCache>
                <c:formatCode>General</c:formatCode>
                <c:ptCount val="2"/>
                <c:pt idx="0">
                  <c:v>6</c:v>
                </c:pt>
                <c:pt idx="1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F-407F-A7A0-8DF995938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5345423"/>
        <c:axId val="2025333423"/>
      </c:barChart>
      <c:catAx>
        <c:axId val="2025345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b="1"/>
                  <a:t>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33423"/>
        <c:crosses val="autoZero"/>
        <c:auto val="1"/>
        <c:lblAlgn val="ctr"/>
        <c:lblOffset val="100"/>
        <c:noMultiLvlLbl val="0"/>
      </c:catAx>
      <c:valAx>
        <c:axId val="20253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b="1"/>
                  <a:t>Positive</a:t>
                </a:r>
                <a:r>
                  <a:rPr lang="en-AU" b="1" baseline="0"/>
                  <a:t> Detection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5345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AU" sz="1800" b="1">
                <a:solidFill>
                  <a:sysClr val="windowText" lastClr="000000"/>
                </a:solidFill>
              </a:rPr>
              <a:t>Agreement Between Detection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'Detection agreement'!$B$1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plosion val="3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5D8-42F4-AC97-7CEA7CBA3E90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50000"/>
                  <a:lumOff val="50000"/>
                </a:schemeClr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5D8-42F4-AC97-7CEA7CBA3E90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5D8-42F4-AC97-7CEA7CBA3E90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5D8-42F4-AC97-7CEA7CBA3E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'Detection agreement'!$A$2:$A$5</c:f>
              <c:strCache>
                <c:ptCount val="4"/>
                <c:pt idx="0">
                  <c:v>Both detected</c:v>
                </c:pt>
                <c:pt idx="1">
                  <c:v>Video only</c:v>
                </c:pt>
                <c:pt idx="2">
                  <c:v>eDNA only</c:v>
                </c:pt>
                <c:pt idx="3">
                  <c:v>Neither detected</c:v>
                </c:pt>
              </c:strCache>
            </c:strRef>
          </c:cat>
          <c:val>
            <c:numRef>
              <c:f>'Detection agreement'!$B$2:$B$5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26</c:v>
                </c:pt>
                <c:pt idx="3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8-42F4-AC97-7CEA7CBA3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4735071"/>
        <c:axId val="1343624416"/>
      </c:barChart>
      <c:catAx>
        <c:axId val="504735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600">
                    <a:solidFill>
                      <a:sysClr val="windowText" lastClr="000000"/>
                    </a:solidFill>
                  </a:rPr>
                  <a:t>Detections</a:t>
                </a:r>
                <a:r>
                  <a:rPr lang="en-AU" sz="1600" baseline="0">
                    <a:solidFill>
                      <a:sysClr val="windowText" lastClr="000000"/>
                    </a:solidFill>
                  </a:rPr>
                  <a:t> by Method</a:t>
                </a:r>
                <a:endParaRPr lang="en-AU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624416"/>
        <c:crosses val="autoZero"/>
        <c:auto val="1"/>
        <c:lblAlgn val="ctr"/>
        <c:lblOffset val="100"/>
        <c:noMultiLvlLbl val="0"/>
      </c:catAx>
      <c:valAx>
        <c:axId val="134362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sz="1600">
                    <a:solidFill>
                      <a:sysClr val="windowText" lastClr="000000"/>
                    </a:solidFill>
                  </a:rPr>
                  <a:t>Number of Survey</a:t>
                </a:r>
                <a:r>
                  <a:rPr lang="en-AU" sz="1600" baseline="0">
                    <a:solidFill>
                      <a:sysClr val="windowText" lastClr="000000"/>
                    </a:solidFill>
                  </a:rPr>
                  <a:t> Sites</a:t>
                </a:r>
                <a:endParaRPr lang="en-AU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73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17416831160573"/>
          <c:y val="0.44131763529558804"/>
          <c:w val="0.16847964252402334"/>
          <c:h val="0.19601869766279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Effect</a:t>
            </a:r>
            <a:r>
              <a:rPr lang="en-AU" b="1" baseline="0"/>
              <a:t> of Seagrass on Detection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'Environmental effects'!$A$21</c:f>
              <c:strCache>
                <c:ptCount val="1"/>
                <c:pt idx="0">
                  <c:v>Video rate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'Environmental effects'!$B$20:$C$20</c:f>
              <c:strCache>
                <c:ptCount val="2"/>
                <c:pt idx="0">
                  <c:v>Seagrass present</c:v>
                </c:pt>
                <c:pt idx="1">
                  <c:v>seagrass absent</c:v>
                </c:pt>
              </c:strCache>
            </c:strRef>
          </c:cat>
          <c:val>
            <c:numRef>
              <c:f>'Environmental effects'!$B$21:$C$21</c:f>
              <c:numCache>
                <c:formatCode>General</c:formatCode>
                <c:ptCount val="2"/>
                <c:pt idx="0">
                  <c:v>6.5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1-41AA-877C-12915DCAA8AA}"/>
            </c:ext>
          </c:extLst>
        </c:ser>
        <c:ser>
          <c:idx val="1"/>
          <c:order val="1"/>
          <c:tx>
            <c:strRef>
              <c:f>'Environmental effects'!$A$22</c:f>
              <c:strCache>
                <c:ptCount val="1"/>
                <c:pt idx="0">
                  <c:v>eDNA rate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'Environmental effects'!$B$20:$C$20</c:f>
              <c:strCache>
                <c:ptCount val="2"/>
                <c:pt idx="0">
                  <c:v>Seagrass present</c:v>
                </c:pt>
                <c:pt idx="1">
                  <c:v>seagrass absent</c:v>
                </c:pt>
              </c:strCache>
            </c:strRef>
          </c:cat>
          <c:val>
            <c:numRef>
              <c:f>'Environmental effects'!$B$22:$C$22</c:f>
              <c:numCache>
                <c:formatCode>General</c:formatCode>
                <c:ptCount val="2"/>
                <c:pt idx="0">
                  <c:v>19.600000000000001</c:v>
                </c:pt>
                <c:pt idx="1">
                  <c:v>14.4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1-41AA-877C-12915DCAA8A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71419823"/>
        <c:axId val="1771420303"/>
      </c:barChart>
      <c:catAx>
        <c:axId val="1771419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20303"/>
        <c:crosses val="autoZero"/>
        <c:auto val="1"/>
        <c:lblAlgn val="ctr"/>
        <c:lblOffset val="100"/>
        <c:noMultiLvlLbl val="0"/>
      </c:catAx>
      <c:valAx>
        <c:axId val="177142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419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Effect of Temperature on Detection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Video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'Environmental effects'!$A$2:$B$5</c:f>
              <c:multiLvlStrCache>
                <c:ptCount val="4"/>
                <c:lvl>
                  <c:pt idx="0">
                    <c:v>Low</c:v>
                  </c:pt>
                  <c:pt idx="1">
                    <c:v>Medium-Low</c:v>
                  </c:pt>
                  <c:pt idx="2">
                    <c:v>Medium-High</c:v>
                  </c:pt>
                  <c:pt idx="3">
                    <c:v>High</c:v>
                  </c:pt>
                </c:lvl>
                <c:lvl>
                  <c:pt idx="0">
                    <c:v>Temperature</c:v>
                  </c:pt>
                  <c:pt idx="1">
                    <c:v>Temperature</c:v>
                  </c:pt>
                  <c:pt idx="2">
                    <c:v>Temperature</c:v>
                  </c:pt>
                  <c:pt idx="3">
                    <c:v>Temperature</c:v>
                  </c:pt>
                </c:lvl>
              </c:multiLvlStrCache>
            </c:multiLvlStrRef>
          </c:cat>
          <c:val>
            <c:numRef>
              <c:f>'Environmental effects'!$E$2:$E$5</c:f>
              <c:numCache>
                <c:formatCode>General</c:formatCode>
                <c:ptCount val="4"/>
                <c:pt idx="0">
                  <c:v>0</c:v>
                </c:pt>
                <c:pt idx="1">
                  <c:v>2.9</c:v>
                </c:pt>
                <c:pt idx="2">
                  <c:v>10</c:v>
                </c:pt>
                <c:pt idx="3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8-484F-9887-C10311A5B473}"/>
            </c:ext>
          </c:extLst>
        </c:ser>
        <c:ser>
          <c:idx val="1"/>
          <c:order val="1"/>
          <c:tx>
            <c:v>eDNA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'Environmental effects'!$A$2:$B$5</c:f>
              <c:multiLvlStrCache>
                <c:ptCount val="4"/>
                <c:lvl>
                  <c:pt idx="0">
                    <c:v>Low</c:v>
                  </c:pt>
                  <c:pt idx="1">
                    <c:v>Medium-Low</c:v>
                  </c:pt>
                  <c:pt idx="2">
                    <c:v>Medium-High</c:v>
                  </c:pt>
                  <c:pt idx="3">
                    <c:v>High</c:v>
                  </c:pt>
                </c:lvl>
                <c:lvl>
                  <c:pt idx="0">
                    <c:v>Temperature</c:v>
                  </c:pt>
                  <c:pt idx="1">
                    <c:v>Temperature</c:v>
                  </c:pt>
                  <c:pt idx="2">
                    <c:v>Temperature</c:v>
                  </c:pt>
                  <c:pt idx="3">
                    <c:v>Temperature</c:v>
                  </c:pt>
                </c:lvl>
              </c:multiLvlStrCache>
            </c:multiLvlStrRef>
          </c:cat>
          <c:val>
            <c:numRef>
              <c:f>'Environmental effects'!$G$2:$G$5</c:f>
              <c:numCache>
                <c:formatCode>General</c:formatCode>
                <c:ptCount val="4"/>
                <c:pt idx="0">
                  <c:v>10</c:v>
                </c:pt>
                <c:pt idx="1">
                  <c:v>29.4</c:v>
                </c:pt>
                <c:pt idx="2">
                  <c:v>23.3</c:v>
                </c:pt>
                <c:pt idx="3">
                  <c:v>13.9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A8-484F-9887-C10311A5B4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76812976"/>
        <c:axId val="1076808656"/>
      </c:barChart>
      <c:catAx>
        <c:axId val="107681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08656"/>
        <c:crosses val="autoZero"/>
        <c:auto val="1"/>
        <c:lblAlgn val="ctr"/>
        <c:lblOffset val="100"/>
        <c:noMultiLvlLbl val="0"/>
      </c:catAx>
      <c:valAx>
        <c:axId val="107680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81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Effect of Depth on Detection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Video</c:v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'Environmental effects'!$A$6:$B$9</c:f>
              <c:multiLvlStrCache>
                <c:ptCount val="4"/>
                <c:lvl>
                  <c:pt idx="0">
                    <c:v>Shallow</c:v>
                  </c:pt>
                  <c:pt idx="1">
                    <c:v>Medium-Shallow</c:v>
                  </c:pt>
                  <c:pt idx="2">
                    <c:v>Medium-Deep</c:v>
                  </c:pt>
                  <c:pt idx="3">
                    <c:v>Deep</c:v>
                  </c:pt>
                </c:lvl>
                <c:lvl>
                  <c:pt idx="0">
                    <c:v>Depth</c:v>
                  </c:pt>
                  <c:pt idx="1">
                    <c:v>Depth</c:v>
                  </c:pt>
                  <c:pt idx="2">
                    <c:v>Depth</c:v>
                  </c:pt>
                  <c:pt idx="3">
                    <c:v>Depth</c:v>
                  </c:pt>
                </c:lvl>
              </c:multiLvlStrCache>
            </c:multiLvlStrRef>
          </c:cat>
          <c:val>
            <c:numRef>
              <c:f>'Environmental effects'!$E$6:$E$9</c:f>
              <c:numCache>
                <c:formatCode>General</c:formatCode>
                <c:ptCount val="4"/>
                <c:pt idx="0">
                  <c:v>12.8</c:v>
                </c:pt>
                <c:pt idx="1">
                  <c:v>2.5</c:v>
                </c:pt>
                <c:pt idx="2">
                  <c:v>6.1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7-4103-BA02-BEFF3E721E53}"/>
            </c:ext>
          </c:extLst>
        </c:ser>
        <c:ser>
          <c:idx val="1"/>
          <c:order val="1"/>
          <c:tx>
            <c:v>eDNA</c:v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'Environmental effects'!$A$6:$B$9</c:f>
              <c:multiLvlStrCache>
                <c:ptCount val="4"/>
                <c:lvl>
                  <c:pt idx="0">
                    <c:v>Shallow</c:v>
                  </c:pt>
                  <c:pt idx="1">
                    <c:v>Medium-Shallow</c:v>
                  </c:pt>
                  <c:pt idx="2">
                    <c:v>Medium-Deep</c:v>
                  </c:pt>
                  <c:pt idx="3">
                    <c:v>Deep</c:v>
                  </c:pt>
                </c:lvl>
                <c:lvl>
                  <c:pt idx="0">
                    <c:v>Depth</c:v>
                  </c:pt>
                  <c:pt idx="1">
                    <c:v>Depth</c:v>
                  </c:pt>
                  <c:pt idx="2">
                    <c:v>Depth</c:v>
                  </c:pt>
                  <c:pt idx="3">
                    <c:v>Depth</c:v>
                  </c:pt>
                </c:lvl>
              </c:multiLvlStrCache>
            </c:multiLvlStrRef>
          </c:cat>
          <c:val>
            <c:numRef>
              <c:f>'Environmental effects'!$G$6:$G$9</c:f>
              <c:numCache>
                <c:formatCode>General</c:formatCode>
                <c:ptCount val="4"/>
                <c:pt idx="0">
                  <c:v>10.3</c:v>
                </c:pt>
                <c:pt idx="1">
                  <c:v>35</c:v>
                </c:pt>
                <c:pt idx="2">
                  <c:v>12.1</c:v>
                </c:pt>
                <c:pt idx="3">
                  <c:v>13.2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7-4103-BA02-BEFF3E721E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1985616"/>
        <c:axId val="1111986096"/>
      </c:barChart>
      <c:catAx>
        <c:axId val="111198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986096"/>
        <c:crosses val="autoZero"/>
        <c:auto val="1"/>
        <c:lblAlgn val="ctr"/>
        <c:lblOffset val="100"/>
        <c:noMultiLvlLbl val="0"/>
      </c:catAx>
      <c:valAx>
        <c:axId val="111198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98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Effect</a:t>
            </a:r>
            <a:r>
              <a:rPr lang="en-AU" b="1" baseline="0"/>
              <a:t> of Seaweed on Detection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'Environmental effects'!$E$21</c:f>
              <c:strCache>
                <c:ptCount val="1"/>
                <c:pt idx="0">
                  <c:v>Video rate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'Environmental effects'!$F$20:$G$20</c:f>
              <c:strCache>
                <c:ptCount val="2"/>
                <c:pt idx="0">
                  <c:v>Seaweede present</c:v>
                </c:pt>
                <c:pt idx="1">
                  <c:v>seaweed absent</c:v>
                </c:pt>
              </c:strCache>
            </c:strRef>
          </c:cat>
          <c:val>
            <c:numRef>
              <c:f>'Environmental effects'!$F$21:$G$21</c:f>
              <c:numCache>
                <c:formatCode>General</c:formatCode>
                <c:ptCount val="2"/>
                <c:pt idx="0">
                  <c:v>5.5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83-4683-BBEC-11DE22E12750}"/>
            </c:ext>
          </c:extLst>
        </c:ser>
        <c:ser>
          <c:idx val="1"/>
          <c:order val="1"/>
          <c:tx>
            <c:strRef>
              <c:f>'Environmental effects'!$E$22</c:f>
              <c:strCache>
                <c:ptCount val="1"/>
                <c:pt idx="0">
                  <c:v>eDNA rate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'Environmental effects'!$F$20:$G$20</c:f>
              <c:strCache>
                <c:ptCount val="2"/>
                <c:pt idx="0">
                  <c:v>Seaweede present</c:v>
                </c:pt>
                <c:pt idx="1">
                  <c:v>seaweed absent</c:v>
                </c:pt>
              </c:strCache>
            </c:strRef>
          </c:cat>
          <c:val>
            <c:numRef>
              <c:f>'Environmental effects'!$F$22:$G$22</c:f>
              <c:numCache>
                <c:formatCode>General</c:formatCode>
                <c:ptCount val="2"/>
                <c:pt idx="0">
                  <c:v>13.6</c:v>
                </c:pt>
                <c:pt idx="1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83-4683-BBEC-11DE22E12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2677600"/>
        <c:axId val="1152672800"/>
      </c:barChart>
      <c:catAx>
        <c:axId val="115267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72800"/>
        <c:crosses val="autoZero"/>
        <c:auto val="1"/>
        <c:lblAlgn val="ctr"/>
        <c:lblOffset val="100"/>
        <c:noMultiLvlLbl val="0"/>
      </c:catAx>
      <c:valAx>
        <c:axId val="115267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267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b="1"/>
              <a:t>Effect of Available</a:t>
            </a:r>
            <a:r>
              <a:rPr lang="en-AU" b="1" baseline="0"/>
              <a:t> Prey  on Detection</a:t>
            </a:r>
            <a:endParaRPr lang="en-A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'Environmental effects'!$I$21</c:f>
              <c:strCache>
                <c:ptCount val="1"/>
                <c:pt idx="0">
                  <c:v>Video rate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'Environmental effects'!$J$20:$K$20</c:f>
              <c:strCache>
                <c:ptCount val="2"/>
                <c:pt idx="0">
                  <c:v>Available Prey Present</c:v>
                </c:pt>
                <c:pt idx="1">
                  <c:v>Available Prey Absent</c:v>
                </c:pt>
              </c:strCache>
            </c:strRef>
          </c:cat>
          <c:val>
            <c:numRef>
              <c:f>'Environmental effects'!$J$21:$K$21</c:f>
              <c:numCache>
                <c:formatCode>General</c:formatCode>
                <c:ptCount val="2"/>
                <c:pt idx="0">
                  <c:v>3.1</c:v>
                </c:pt>
                <c:pt idx="1">
                  <c:v>5.0999999999999996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93-4430-A7C9-78CB52C5DAAE}"/>
            </c:ext>
          </c:extLst>
        </c:ser>
        <c:ser>
          <c:idx val="1"/>
          <c:order val="1"/>
          <c:tx>
            <c:strRef>
              <c:f>'Environmental effects'!$I$22</c:f>
              <c:strCache>
                <c:ptCount val="1"/>
                <c:pt idx="0">
                  <c:v>eDNA rate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percentage"/>
            <c:noEndCap val="0"/>
            <c:val val="5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'Environmental effects'!$J$20:$K$20</c:f>
              <c:strCache>
                <c:ptCount val="2"/>
                <c:pt idx="0">
                  <c:v>Available Prey Present</c:v>
                </c:pt>
                <c:pt idx="1">
                  <c:v>Available Prey Absent</c:v>
                </c:pt>
              </c:strCache>
            </c:strRef>
          </c:cat>
          <c:val>
            <c:numRef>
              <c:f>'Environmental effects'!$J$22:$K$22</c:f>
              <c:numCache>
                <c:formatCode>General</c:formatCode>
                <c:ptCount val="2"/>
                <c:pt idx="0">
                  <c:v>21.9</c:v>
                </c:pt>
                <c:pt idx="1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93-4430-A7C9-78CB52C5DAA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64604880"/>
        <c:axId val="1164605360"/>
      </c:barChart>
      <c:catAx>
        <c:axId val="116460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05360"/>
        <c:crosses val="autoZero"/>
        <c:auto val="1"/>
        <c:lblAlgn val="ctr"/>
        <c:lblOffset val="100"/>
        <c:noMultiLvlLbl val="0"/>
      </c:catAx>
      <c:valAx>
        <c:axId val="11646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604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226217</xdr:colOff>
      <xdr:row>7</xdr:row>
      <xdr:rowOff>52386</xdr:rowOff>
    </xdr:from>
    <xdr:to>
      <xdr:col>5</xdr:col>
      <xdr:colOff>623887</xdr:colOff>
      <xdr:row>27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4EF99D-42A6-9006-5A61-F66ED7D7C7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161925</xdr:colOff>
      <xdr:row>2</xdr:row>
      <xdr:rowOff>85724</xdr:rowOff>
    </xdr:from>
    <xdr:to>
      <xdr:col>14</xdr:col>
      <xdr:colOff>600075</xdr:colOff>
      <xdr:row>30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9823EE-B861-A4C5-A7C2-B5D8BE242D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97631</xdr:colOff>
      <xdr:row>22</xdr:row>
      <xdr:rowOff>114299</xdr:rowOff>
    </xdr:from>
    <xdr:to>
      <xdr:col>3</xdr:col>
      <xdr:colOff>888206</xdr:colOff>
      <xdr:row>37</xdr:row>
      <xdr:rowOff>142874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209A9B5-20DA-4405-19F1-6BFB8EB20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1000126</xdr:colOff>
      <xdr:row>22</xdr:row>
      <xdr:rowOff>123823</xdr:rowOff>
    </xdr:from>
    <xdr:to>
      <xdr:col>8</xdr:col>
      <xdr:colOff>397669</xdr:colOff>
      <xdr:row>37</xdr:row>
      <xdr:rowOff>157160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97EE02-76CA-BC7B-0EFE-8AE823D49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1009650</xdr:colOff>
      <xdr:row>38</xdr:row>
      <xdr:rowOff>152399</xdr:rowOff>
    </xdr:from>
    <xdr:to>
      <xdr:col>8</xdr:col>
      <xdr:colOff>309562</xdr:colOff>
      <xdr:row>53</xdr:row>
      <xdr:rowOff>180974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8D9F74D-77BD-E9AF-8F7B-88FCE82AA1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88106</xdr:colOff>
      <xdr:row>38</xdr:row>
      <xdr:rowOff>119062</xdr:rowOff>
    </xdr:from>
    <xdr:to>
      <xdr:col>3</xdr:col>
      <xdr:colOff>878681</xdr:colOff>
      <xdr:row>53</xdr:row>
      <xdr:rowOff>147637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79950A9-97DD-0EED-69EA-2261375D2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92869</xdr:colOff>
      <xdr:row>54</xdr:row>
      <xdr:rowOff>152400</xdr:rowOff>
    </xdr:from>
    <xdr:to>
      <xdr:col>3</xdr:col>
      <xdr:colOff>883444</xdr:colOff>
      <xdr:row>70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B23249F-C356-7A59-FF94-F945EF4FF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4A64-BE8C-4362-949B-10A698E37472}">
  <dimension ref="A1:D134"/>
  <sheetViews>
    <sheetView workbookViewId="0">
      <selection activeCell="S19" sqref="S19"/>
    </sheetView>
  </sheetViews>
  <sheetFormatPr defaultRowHeight="14.25" x14ac:dyDescent="0.45"/>
  <sheetData>
    <row r="1" spans="1:4" x14ac:dyDescent="0.45">
      <c r="A1" t="s">
        <v>548</v>
      </c>
      <c r="B1" t="s">
        <v>173</v>
      </c>
      <c r="C1" t="s">
        <v>173</v>
      </c>
    </row>
    <row r="2" spans="1:4" x14ac:dyDescent="0.45">
      <c r="A2" t="s">
        <v>549</v>
      </c>
      <c r="B2" t="s">
        <v>392</v>
      </c>
      <c r="C2" t="s">
        <v>550</v>
      </c>
      <c r="D2" t="s">
        <v>551</v>
      </c>
    </row>
    <row r="3" spans="1:4" x14ac:dyDescent="0.45">
      <c r="A3" t="s">
        <v>552</v>
      </c>
      <c r="B3" t="s">
        <v>553</v>
      </c>
      <c r="C3" t="s">
        <v>173</v>
      </c>
      <c r="D3" t="s">
        <v>554</v>
      </c>
    </row>
    <row r="4" spans="1:4" x14ac:dyDescent="0.45">
      <c r="A4" t="s">
        <v>555</v>
      </c>
      <c r="B4" t="s">
        <v>556</v>
      </c>
      <c r="C4" t="s">
        <v>557</v>
      </c>
    </row>
    <row r="5" spans="1:4" x14ac:dyDescent="0.45">
      <c r="A5" t="s">
        <v>558</v>
      </c>
      <c r="B5" t="s">
        <v>559</v>
      </c>
      <c r="C5" t="s">
        <v>560</v>
      </c>
    </row>
    <row r="6" spans="1:4" x14ac:dyDescent="0.45">
      <c r="A6" t="s">
        <v>561</v>
      </c>
      <c r="B6" t="s">
        <v>562</v>
      </c>
    </row>
    <row r="7" spans="1:4" x14ac:dyDescent="0.45">
      <c r="A7" t="s">
        <v>563</v>
      </c>
      <c r="B7" t="s">
        <v>564</v>
      </c>
      <c r="C7" t="s">
        <v>565</v>
      </c>
    </row>
    <row r="8" spans="1:4" x14ac:dyDescent="0.45">
      <c r="A8" t="s">
        <v>566</v>
      </c>
      <c r="B8" t="s">
        <v>567</v>
      </c>
      <c r="C8" t="s">
        <v>568</v>
      </c>
    </row>
    <row r="9" spans="1:4" x14ac:dyDescent="0.45">
      <c r="A9" t="s">
        <v>569</v>
      </c>
      <c r="B9" t="s">
        <v>570</v>
      </c>
    </row>
    <row r="10" spans="1:4" x14ac:dyDescent="0.45">
      <c r="A10" t="s">
        <v>571</v>
      </c>
      <c r="B10" t="s">
        <v>572</v>
      </c>
      <c r="C10" t="s">
        <v>573</v>
      </c>
    </row>
    <row r="11" spans="1:4" x14ac:dyDescent="0.45">
      <c r="A11" t="s">
        <v>574</v>
      </c>
      <c r="B11" t="s">
        <v>575</v>
      </c>
      <c r="C11" t="s">
        <v>576</v>
      </c>
    </row>
    <row r="12" spans="1:4" x14ac:dyDescent="0.45">
      <c r="A12" t="s">
        <v>577</v>
      </c>
      <c r="B12" t="s">
        <v>578</v>
      </c>
    </row>
    <row r="13" spans="1:4" x14ac:dyDescent="0.45">
      <c r="A13" t="s">
        <v>579</v>
      </c>
      <c r="B13" t="s">
        <v>580</v>
      </c>
      <c r="C13" t="s">
        <v>581</v>
      </c>
    </row>
    <row r="14" spans="1:4" x14ac:dyDescent="0.45">
      <c r="A14" t="s">
        <v>582</v>
      </c>
      <c r="B14" t="s">
        <v>583</v>
      </c>
      <c r="C14" t="s">
        <v>584</v>
      </c>
    </row>
    <row r="15" spans="1:4" x14ac:dyDescent="0.45">
      <c r="A15" t="s">
        <v>585</v>
      </c>
      <c r="B15" t="s">
        <v>586</v>
      </c>
    </row>
    <row r="16" spans="1:4" x14ac:dyDescent="0.45">
      <c r="A16" t="s">
        <v>587</v>
      </c>
      <c r="B16" t="s">
        <v>588</v>
      </c>
      <c r="C16" t="s">
        <v>589</v>
      </c>
    </row>
    <row r="17" spans="1:4" x14ac:dyDescent="0.45">
      <c r="A17" t="s">
        <v>590</v>
      </c>
      <c r="B17" t="s">
        <v>591</v>
      </c>
      <c r="C17" t="s">
        <v>592</v>
      </c>
    </row>
    <row r="18" spans="1:4" x14ac:dyDescent="0.45">
      <c r="A18" t="s">
        <v>593</v>
      </c>
      <c r="B18" t="s">
        <v>594</v>
      </c>
    </row>
    <row r="20" spans="1:4" x14ac:dyDescent="0.45">
      <c r="A20" t="s">
        <v>595</v>
      </c>
    </row>
    <row r="21" spans="1:4" x14ac:dyDescent="0.45">
      <c r="A21" t="s">
        <v>549</v>
      </c>
      <c r="B21" t="s">
        <v>392</v>
      </c>
      <c r="C21" t="s">
        <v>550</v>
      </c>
      <c r="D21" t="s">
        <v>551</v>
      </c>
    </row>
    <row r="22" spans="1:4" x14ac:dyDescent="0.45">
      <c r="A22" t="s">
        <v>596</v>
      </c>
      <c r="B22" t="s">
        <v>553</v>
      </c>
      <c r="C22" t="s">
        <v>173</v>
      </c>
      <c r="D22" t="s">
        <v>597</v>
      </c>
    </row>
    <row r="23" spans="1:4" x14ac:dyDescent="0.45">
      <c r="A23" t="s">
        <v>598</v>
      </c>
      <c r="B23" t="s">
        <v>556</v>
      </c>
      <c r="C23" t="s">
        <v>297</v>
      </c>
    </row>
    <row r="24" spans="1:4" x14ac:dyDescent="0.45">
      <c r="A24" t="s">
        <v>599</v>
      </c>
      <c r="B24" t="s">
        <v>559</v>
      </c>
      <c r="C24" t="s">
        <v>275</v>
      </c>
    </row>
    <row r="25" spans="1:4" x14ac:dyDescent="0.45">
      <c r="A25" t="s">
        <v>600</v>
      </c>
      <c r="B25" t="s">
        <v>562</v>
      </c>
    </row>
    <row r="26" spans="1:4" x14ac:dyDescent="0.45">
      <c r="A26" t="s">
        <v>601</v>
      </c>
      <c r="B26" t="s">
        <v>564</v>
      </c>
      <c r="C26" t="s">
        <v>212</v>
      </c>
    </row>
    <row r="27" spans="1:4" x14ac:dyDescent="0.45">
      <c r="A27" t="s">
        <v>602</v>
      </c>
      <c r="B27" t="s">
        <v>567</v>
      </c>
      <c r="C27" t="s">
        <v>292</v>
      </c>
    </row>
    <row r="28" spans="1:4" x14ac:dyDescent="0.45">
      <c r="A28" t="s">
        <v>603</v>
      </c>
      <c r="B28" t="s">
        <v>570</v>
      </c>
    </row>
    <row r="29" spans="1:4" x14ac:dyDescent="0.45">
      <c r="A29" t="s">
        <v>604</v>
      </c>
      <c r="B29" t="s">
        <v>572</v>
      </c>
      <c r="C29" t="s">
        <v>256</v>
      </c>
    </row>
    <row r="30" spans="1:4" x14ac:dyDescent="0.45">
      <c r="A30" t="s">
        <v>605</v>
      </c>
      <c r="B30" t="s">
        <v>575</v>
      </c>
      <c r="C30" t="s">
        <v>157</v>
      </c>
    </row>
    <row r="31" spans="1:4" x14ac:dyDescent="0.45">
      <c r="A31" t="s">
        <v>606</v>
      </c>
      <c r="B31" t="s">
        <v>578</v>
      </c>
    </row>
    <row r="32" spans="1:4" x14ac:dyDescent="0.45">
      <c r="A32" t="s">
        <v>607</v>
      </c>
      <c r="B32" t="s">
        <v>580</v>
      </c>
      <c r="C32" t="s">
        <v>245</v>
      </c>
    </row>
    <row r="33" spans="1:4" x14ac:dyDescent="0.45">
      <c r="A33" t="s">
        <v>608</v>
      </c>
      <c r="B33" t="s">
        <v>583</v>
      </c>
      <c r="C33" t="s">
        <v>191</v>
      </c>
    </row>
    <row r="34" spans="1:4" x14ac:dyDescent="0.45">
      <c r="A34" t="s">
        <v>609</v>
      </c>
      <c r="B34" t="s">
        <v>586</v>
      </c>
    </row>
    <row r="35" spans="1:4" x14ac:dyDescent="0.45">
      <c r="A35" t="s">
        <v>610</v>
      </c>
      <c r="B35" t="s">
        <v>588</v>
      </c>
      <c r="C35" t="s">
        <v>164</v>
      </c>
    </row>
    <row r="36" spans="1:4" x14ac:dyDescent="0.45">
      <c r="A36" t="s">
        <v>611</v>
      </c>
      <c r="B36" t="s">
        <v>591</v>
      </c>
      <c r="C36" t="s">
        <v>202</v>
      </c>
    </row>
    <row r="37" spans="1:4" x14ac:dyDescent="0.45">
      <c r="A37" t="s">
        <v>612</v>
      </c>
      <c r="B37" t="s">
        <v>613</v>
      </c>
    </row>
    <row r="39" spans="1:4" x14ac:dyDescent="0.45">
      <c r="A39" t="s">
        <v>614</v>
      </c>
    </row>
    <row r="40" spans="1:4" x14ac:dyDescent="0.45">
      <c r="A40" t="s">
        <v>549</v>
      </c>
      <c r="B40" t="s">
        <v>392</v>
      </c>
      <c r="C40" t="s">
        <v>550</v>
      </c>
      <c r="D40" t="s">
        <v>551</v>
      </c>
    </row>
    <row r="41" spans="1:4" x14ac:dyDescent="0.45">
      <c r="A41" t="s">
        <v>615</v>
      </c>
      <c r="B41" t="s">
        <v>553</v>
      </c>
      <c r="C41" t="s">
        <v>173</v>
      </c>
      <c r="D41" t="s">
        <v>616</v>
      </c>
    </row>
    <row r="42" spans="1:4" x14ac:dyDescent="0.45">
      <c r="A42" t="s">
        <v>617</v>
      </c>
      <c r="B42" t="s">
        <v>556</v>
      </c>
      <c r="C42" t="s">
        <v>310</v>
      </c>
    </row>
    <row r="43" spans="1:4" x14ac:dyDescent="0.45">
      <c r="A43" t="s">
        <v>618</v>
      </c>
      <c r="B43" t="s">
        <v>559</v>
      </c>
      <c r="C43" t="s">
        <v>209</v>
      </c>
    </row>
    <row r="44" spans="1:4" x14ac:dyDescent="0.45">
      <c r="A44" t="s">
        <v>619</v>
      </c>
      <c r="B44" t="s">
        <v>562</v>
      </c>
    </row>
    <row r="45" spans="1:4" x14ac:dyDescent="0.45">
      <c r="A45" t="s">
        <v>620</v>
      </c>
      <c r="B45" t="s">
        <v>621</v>
      </c>
      <c r="C45" t="s">
        <v>264</v>
      </c>
    </row>
    <row r="46" spans="1:4" x14ac:dyDescent="0.45">
      <c r="A46" t="s">
        <v>622</v>
      </c>
      <c r="B46" t="s">
        <v>567</v>
      </c>
      <c r="C46" t="s">
        <v>226</v>
      </c>
    </row>
    <row r="47" spans="1:4" x14ac:dyDescent="0.45">
      <c r="A47" t="s">
        <v>623</v>
      </c>
      <c r="B47" t="s">
        <v>624</v>
      </c>
    </row>
    <row r="48" spans="1:4" x14ac:dyDescent="0.45">
      <c r="A48" t="s">
        <v>625</v>
      </c>
      <c r="B48" t="s">
        <v>572</v>
      </c>
      <c r="C48" t="s">
        <v>162</v>
      </c>
    </row>
    <row r="49" spans="1:4" x14ac:dyDescent="0.45">
      <c r="A49" t="s">
        <v>626</v>
      </c>
      <c r="B49" t="s">
        <v>575</v>
      </c>
      <c r="C49" t="s">
        <v>160</v>
      </c>
    </row>
    <row r="50" spans="1:4" x14ac:dyDescent="0.45">
      <c r="A50" t="s">
        <v>627</v>
      </c>
      <c r="B50" t="s">
        <v>578</v>
      </c>
    </row>
    <row r="51" spans="1:4" x14ac:dyDescent="0.45">
      <c r="A51" t="s">
        <v>628</v>
      </c>
      <c r="B51" t="s">
        <v>580</v>
      </c>
      <c r="C51" t="s">
        <v>201</v>
      </c>
    </row>
    <row r="52" spans="1:4" x14ac:dyDescent="0.45">
      <c r="A52" t="s">
        <v>629</v>
      </c>
      <c r="B52" t="s">
        <v>583</v>
      </c>
      <c r="C52" t="s">
        <v>296</v>
      </c>
    </row>
    <row r="53" spans="1:4" x14ac:dyDescent="0.45">
      <c r="A53" t="s">
        <v>630</v>
      </c>
      <c r="B53" t="s">
        <v>586</v>
      </c>
    </row>
    <row r="54" spans="1:4" x14ac:dyDescent="0.45">
      <c r="A54" t="s">
        <v>631</v>
      </c>
      <c r="B54" t="s">
        <v>588</v>
      </c>
      <c r="C54" t="s">
        <v>218</v>
      </c>
    </row>
    <row r="55" spans="1:4" x14ac:dyDescent="0.45">
      <c r="A55" t="s">
        <v>632</v>
      </c>
      <c r="B55" t="s">
        <v>591</v>
      </c>
      <c r="C55" t="s">
        <v>284</v>
      </c>
    </row>
    <row r="56" spans="1:4" x14ac:dyDescent="0.45">
      <c r="A56" t="s">
        <v>633</v>
      </c>
      <c r="B56" t="s">
        <v>634</v>
      </c>
    </row>
    <row r="58" spans="1:4" x14ac:dyDescent="0.45">
      <c r="A58" t="s">
        <v>635</v>
      </c>
    </row>
    <row r="59" spans="1:4" x14ac:dyDescent="0.45">
      <c r="A59" t="s">
        <v>549</v>
      </c>
      <c r="B59" t="s">
        <v>392</v>
      </c>
      <c r="C59" t="s">
        <v>550</v>
      </c>
      <c r="D59" t="s">
        <v>551</v>
      </c>
    </row>
    <row r="60" spans="1:4" x14ac:dyDescent="0.45">
      <c r="A60" t="s">
        <v>636</v>
      </c>
      <c r="B60" t="s">
        <v>553</v>
      </c>
      <c r="C60" t="s">
        <v>173</v>
      </c>
      <c r="D60" t="s">
        <v>637</v>
      </c>
    </row>
    <row r="61" spans="1:4" x14ac:dyDescent="0.45">
      <c r="A61" t="s">
        <v>638</v>
      </c>
      <c r="B61" t="s">
        <v>556</v>
      </c>
      <c r="C61" t="s">
        <v>639</v>
      </c>
    </row>
    <row r="62" spans="1:4" x14ac:dyDescent="0.45">
      <c r="A62" t="s">
        <v>640</v>
      </c>
      <c r="B62" t="s">
        <v>559</v>
      </c>
      <c r="C62" t="s">
        <v>641</v>
      </c>
    </row>
    <row r="63" spans="1:4" x14ac:dyDescent="0.45">
      <c r="A63" t="s">
        <v>642</v>
      </c>
      <c r="B63" t="s">
        <v>562</v>
      </c>
    </row>
    <row r="64" spans="1:4" x14ac:dyDescent="0.45">
      <c r="A64" t="s">
        <v>643</v>
      </c>
      <c r="B64" t="s">
        <v>564</v>
      </c>
      <c r="C64" t="s">
        <v>644</v>
      </c>
    </row>
    <row r="65" spans="1:4" x14ac:dyDescent="0.45">
      <c r="A65" t="s">
        <v>645</v>
      </c>
      <c r="B65" t="s">
        <v>567</v>
      </c>
      <c r="C65" t="s">
        <v>646</v>
      </c>
    </row>
    <row r="66" spans="1:4" x14ac:dyDescent="0.45">
      <c r="A66" t="s">
        <v>647</v>
      </c>
      <c r="B66" t="s">
        <v>570</v>
      </c>
    </row>
    <row r="67" spans="1:4" x14ac:dyDescent="0.45">
      <c r="A67" t="s">
        <v>648</v>
      </c>
      <c r="B67" t="s">
        <v>572</v>
      </c>
      <c r="C67" t="s">
        <v>649</v>
      </c>
    </row>
    <row r="68" spans="1:4" x14ac:dyDescent="0.45">
      <c r="A68" t="s">
        <v>650</v>
      </c>
      <c r="B68" t="s">
        <v>575</v>
      </c>
      <c r="C68" t="s">
        <v>651</v>
      </c>
    </row>
    <row r="69" spans="1:4" x14ac:dyDescent="0.45">
      <c r="A69" t="s">
        <v>652</v>
      </c>
      <c r="B69" t="s">
        <v>578</v>
      </c>
    </row>
    <row r="70" spans="1:4" x14ac:dyDescent="0.45">
      <c r="A70" t="s">
        <v>653</v>
      </c>
      <c r="B70" t="s">
        <v>580</v>
      </c>
      <c r="C70" t="s">
        <v>654</v>
      </c>
    </row>
    <row r="71" spans="1:4" x14ac:dyDescent="0.45">
      <c r="A71" t="s">
        <v>655</v>
      </c>
      <c r="B71" t="s">
        <v>583</v>
      </c>
      <c r="C71" t="s">
        <v>656</v>
      </c>
    </row>
    <row r="72" spans="1:4" x14ac:dyDescent="0.45">
      <c r="A72" t="s">
        <v>657</v>
      </c>
      <c r="B72" t="s">
        <v>586</v>
      </c>
    </row>
    <row r="73" spans="1:4" x14ac:dyDescent="0.45">
      <c r="A73" t="s">
        <v>658</v>
      </c>
      <c r="B73" t="s">
        <v>588</v>
      </c>
      <c r="C73" t="s">
        <v>659</v>
      </c>
    </row>
    <row r="74" spans="1:4" x14ac:dyDescent="0.45">
      <c r="A74" t="s">
        <v>660</v>
      </c>
      <c r="B74" t="s">
        <v>591</v>
      </c>
      <c r="C74" t="s">
        <v>661</v>
      </c>
    </row>
    <row r="75" spans="1:4" x14ac:dyDescent="0.45">
      <c r="A75" t="s">
        <v>662</v>
      </c>
      <c r="B75" t="s">
        <v>663</v>
      </c>
    </row>
    <row r="77" spans="1:4" x14ac:dyDescent="0.45">
      <c r="A77" t="s">
        <v>664</v>
      </c>
    </row>
    <row r="78" spans="1:4" x14ac:dyDescent="0.45">
      <c r="A78" t="s">
        <v>549</v>
      </c>
      <c r="B78" t="s">
        <v>392</v>
      </c>
      <c r="C78" t="s">
        <v>550</v>
      </c>
      <c r="D78" t="s">
        <v>551</v>
      </c>
    </row>
    <row r="79" spans="1:4" x14ac:dyDescent="0.45">
      <c r="A79" t="s">
        <v>665</v>
      </c>
      <c r="B79" t="s">
        <v>553</v>
      </c>
      <c r="C79" t="s">
        <v>173</v>
      </c>
      <c r="D79" t="s">
        <v>666</v>
      </c>
    </row>
    <row r="80" spans="1:4" x14ac:dyDescent="0.45">
      <c r="A80" t="s">
        <v>667</v>
      </c>
      <c r="B80" t="s">
        <v>556</v>
      </c>
      <c r="C80" t="s">
        <v>668</v>
      </c>
      <c r="D80" t="s">
        <v>669</v>
      </c>
    </row>
    <row r="81" spans="1:3" x14ac:dyDescent="0.45">
      <c r="A81" t="s">
        <v>670</v>
      </c>
      <c r="B81" t="s">
        <v>559</v>
      </c>
      <c r="C81" t="s">
        <v>671</v>
      </c>
    </row>
    <row r="82" spans="1:3" x14ac:dyDescent="0.45">
      <c r="A82" t="s">
        <v>672</v>
      </c>
      <c r="B82" t="s">
        <v>562</v>
      </c>
    </row>
    <row r="83" spans="1:3" x14ac:dyDescent="0.45">
      <c r="A83" t="s">
        <v>673</v>
      </c>
      <c r="B83" t="s">
        <v>564</v>
      </c>
      <c r="C83" t="s">
        <v>674</v>
      </c>
    </row>
    <row r="84" spans="1:3" x14ac:dyDescent="0.45">
      <c r="A84" t="s">
        <v>675</v>
      </c>
      <c r="B84" t="s">
        <v>567</v>
      </c>
      <c r="C84" t="s">
        <v>676</v>
      </c>
    </row>
    <row r="85" spans="1:3" x14ac:dyDescent="0.45">
      <c r="A85" t="s">
        <v>677</v>
      </c>
      <c r="B85" t="s">
        <v>570</v>
      </c>
    </row>
    <row r="86" spans="1:3" x14ac:dyDescent="0.45">
      <c r="A86" t="s">
        <v>678</v>
      </c>
      <c r="B86" t="s">
        <v>572</v>
      </c>
      <c r="C86" t="s">
        <v>679</v>
      </c>
    </row>
    <row r="87" spans="1:3" x14ac:dyDescent="0.45">
      <c r="A87" t="s">
        <v>680</v>
      </c>
      <c r="B87" t="s">
        <v>575</v>
      </c>
      <c r="C87" t="s">
        <v>681</v>
      </c>
    </row>
    <row r="88" spans="1:3" x14ac:dyDescent="0.45">
      <c r="A88" t="s">
        <v>682</v>
      </c>
      <c r="B88" t="s">
        <v>578</v>
      </c>
    </row>
    <row r="89" spans="1:3" x14ac:dyDescent="0.45">
      <c r="A89" t="s">
        <v>683</v>
      </c>
      <c r="B89" t="s">
        <v>580</v>
      </c>
      <c r="C89" t="s">
        <v>684</v>
      </c>
    </row>
    <row r="90" spans="1:3" x14ac:dyDescent="0.45">
      <c r="A90" t="s">
        <v>685</v>
      </c>
      <c r="B90" t="s">
        <v>583</v>
      </c>
      <c r="C90" t="s">
        <v>686</v>
      </c>
    </row>
    <row r="91" spans="1:3" x14ac:dyDescent="0.45">
      <c r="A91" t="s">
        <v>687</v>
      </c>
      <c r="B91" t="s">
        <v>586</v>
      </c>
    </row>
    <row r="92" spans="1:3" x14ac:dyDescent="0.45">
      <c r="A92" t="s">
        <v>688</v>
      </c>
      <c r="B92" t="s">
        <v>588</v>
      </c>
      <c r="C92" t="s">
        <v>689</v>
      </c>
    </row>
    <row r="93" spans="1:3" x14ac:dyDescent="0.45">
      <c r="A93" t="s">
        <v>690</v>
      </c>
      <c r="B93" t="s">
        <v>591</v>
      </c>
      <c r="C93" t="s">
        <v>691</v>
      </c>
    </row>
    <row r="94" spans="1:3" x14ac:dyDescent="0.45">
      <c r="A94" t="s">
        <v>692</v>
      </c>
      <c r="B94" t="s">
        <v>693</v>
      </c>
    </row>
    <row r="96" spans="1:3" x14ac:dyDescent="0.45">
      <c r="A96" t="s">
        <v>694</v>
      </c>
      <c r="B96" t="s">
        <v>173</v>
      </c>
      <c r="C96" t="s">
        <v>173</v>
      </c>
    </row>
    <row r="97" spans="1:4" x14ac:dyDescent="0.45">
      <c r="A97" t="s">
        <v>549</v>
      </c>
      <c r="B97" t="s">
        <v>392</v>
      </c>
      <c r="C97" t="s">
        <v>550</v>
      </c>
      <c r="D97" t="s">
        <v>551</v>
      </c>
    </row>
    <row r="98" spans="1:4" x14ac:dyDescent="0.45">
      <c r="A98" t="s">
        <v>695</v>
      </c>
      <c r="B98" t="s">
        <v>553</v>
      </c>
      <c r="C98" t="s">
        <v>173</v>
      </c>
      <c r="D98" t="s">
        <v>696</v>
      </c>
    </row>
    <row r="99" spans="1:4" x14ac:dyDescent="0.45">
      <c r="A99" t="s">
        <v>697</v>
      </c>
      <c r="B99" t="s">
        <v>556</v>
      </c>
      <c r="C99" t="s">
        <v>698</v>
      </c>
    </row>
    <row r="100" spans="1:4" x14ac:dyDescent="0.45">
      <c r="A100" t="s">
        <v>699</v>
      </c>
      <c r="B100" t="s">
        <v>559</v>
      </c>
      <c r="C100" t="s">
        <v>700</v>
      </c>
    </row>
    <row r="101" spans="1:4" x14ac:dyDescent="0.45">
      <c r="A101" t="s">
        <v>701</v>
      </c>
      <c r="B101" t="s">
        <v>562</v>
      </c>
    </row>
    <row r="102" spans="1:4" x14ac:dyDescent="0.45">
      <c r="A102" t="s">
        <v>702</v>
      </c>
      <c r="B102" t="s">
        <v>564</v>
      </c>
      <c r="C102" t="s">
        <v>703</v>
      </c>
    </row>
    <row r="103" spans="1:4" x14ac:dyDescent="0.45">
      <c r="A103" t="s">
        <v>704</v>
      </c>
      <c r="B103" t="s">
        <v>567</v>
      </c>
      <c r="C103" t="s">
        <v>705</v>
      </c>
    </row>
    <row r="104" spans="1:4" x14ac:dyDescent="0.45">
      <c r="A104" t="s">
        <v>706</v>
      </c>
      <c r="B104" t="s">
        <v>570</v>
      </c>
    </row>
    <row r="105" spans="1:4" x14ac:dyDescent="0.45">
      <c r="A105" t="s">
        <v>707</v>
      </c>
      <c r="B105" t="s">
        <v>572</v>
      </c>
      <c r="C105" t="s">
        <v>708</v>
      </c>
    </row>
    <row r="106" spans="1:4" x14ac:dyDescent="0.45">
      <c r="A106" t="s">
        <v>709</v>
      </c>
      <c r="B106" t="s">
        <v>575</v>
      </c>
      <c r="C106" t="s">
        <v>710</v>
      </c>
    </row>
    <row r="107" spans="1:4" x14ac:dyDescent="0.45">
      <c r="A107" t="s">
        <v>711</v>
      </c>
      <c r="B107" t="s">
        <v>578</v>
      </c>
    </row>
    <row r="108" spans="1:4" x14ac:dyDescent="0.45">
      <c r="A108" t="s">
        <v>712</v>
      </c>
      <c r="B108" t="s">
        <v>580</v>
      </c>
      <c r="C108" t="s">
        <v>713</v>
      </c>
    </row>
    <row r="109" spans="1:4" x14ac:dyDescent="0.45">
      <c r="A109" t="s">
        <v>714</v>
      </c>
      <c r="B109" t="s">
        <v>583</v>
      </c>
      <c r="C109" t="s">
        <v>715</v>
      </c>
    </row>
    <row r="110" spans="1:4" x14ac:dyDescent="0.45">
      <c r="A110" t="s">
        <v>716</v>
      </c>
      <c r="B110" t="s">
        <v>586</v>
      </c>
    </row>
    <row r="111" spans="1:4" x14ac:dyDescent="0.45">
      <c r="A111" t="s">
        <v>717</v>
      </c>
      <c r="B111" t="s">
        <v>588</v>
      </c>
      <c r="C111" t="s">
        <v>718</v>
      </c>
    </row>
    <row r="112" spans="1:4" x14ac:dyDescent="0.45">
      <c r="A112" t="s">
        <v>719</v>
      </c>
      <c r="B112" t="s">
        <v>591</v>
      </c>
      <c r="C112" t="s">
        <v>720</v>
      </c>
    </row>
    <row r="113" spans="1:4" x14ac:dyDescent="0.45">
      <c r="A113" t="s">
        <v>721</v>
      </c>
      <c r="B113" t="s">
        <v>722</v>
      </c>
    </row>
    <row r="115" spans="1:4" x14ac:dyDescent="0.45">
      <c r="A115" t="s">
        <v>723</v>
      </c>
    </row>
    <row r="116" spans="1:4" x14ac:dyDescent="0.45">
      <c r="A116" t="s">
        <v>549</v>
      </c>
      <c r="B116" t="s">
        <v>392</v>
      </c>
      <c r="C116" t="s">
        <v>550</v>
      </c>
      <c r="D116" t="s">
        <v>551</v>
      </c>
    </row>
    <row r="117" spans="1:4" x14ac:dyDescent="0.45">
      <c r="A117" t="s">
        <v>724</v>
      </c>
      <c r="B117" t="s">
        <v>553</v>
      </c>
      <c r="C117" t="s">
        <v>173</v>
      </c>
      <c r="D117" t="s">
        <v>725</v>
      </c>
    </row>
    <row r="118" spans="1:4" x14ac:dyDescent="0.45">
      <c r="A118" t="s">
        <v>726</v>
      </c>
      <c r="B118" t="s">
        <v>556</v>
      </c>
      <c r="C118" t="s">
        <v>727</v>
      </c>
      <c r="D118" t="s">
        <v>728</v>
      </c>
    </row>
    <row r="119" spans="1:4" x14ac:dyDescent="0.45">
      <c r="A119" t="s">
        <v>729</v>
      </c>
      <c r="B119" t="s">
        <v>559</v>
      </c>
      <c r="C119" t="s">
        <v>730</v>
      </c>
    </row>
    <row r="120" spans="1:4" x14ac:dyDescent="0.45">
      <c r="A120" t="s">
        <v>731</v>
      </c>
      <c r="B120" t="s">
        <v>562</v>
      </c>
    </row>
    <row r="121" spans="1:4" x14ac:dyDescent="0.45">
      <c r="A121" t="s">
        <v>732</v>
      </c>
      <c r="B121" t="s">
        <v>564</v>
      </c>
      <c r="C121" t="s">
        <v>733</v>
      </c>
    </row>
    <row r="122" spans="1:4" x14ac:dyDescent="0.45">
      <c r="A122" t="s">
        <v>734</v>
      </c>
      <c r="B122" t="s">
        <v>567</v>
      </c>
      <c r="C122" t="s">
        <v>735</v>
      </c>
    </row>
    <row r="123" spans="1:4" x14ac:dyDescent="0.45">
      <c r="A123" t="s">
        <v>736</v>
      </c>
      <c r="B123" t="s">
        <v>570</v>
      </c>
      <c r="C123" t="s">
        <v>173</v>
      </c>
    </row>
    <row r="124" spans="1:4" x14ac:dyDescent="0.45">
      <c r="A124" t="s">
        <v>737</v>
      </c>
      <c r="B124" t="s">
        <v>572</v>
      </c>
      <c r="C124" t="s">
        <v>738</v>
      </c>
    </row>
    <row r="125" spans="1:4" x14ac:dyDescent="0.45">
      <c r="A125" t="s">
        <v>739</v>
      </c>
      <c r="B125" t="s">
        <v>575</v>
      </c>
      <c r="C125" t="s">
        <v>740</v>
      </c>
    </row>
    <row r="126" spans="1:4" x14ac:dyDescent="0.45">
      <c r="A126" t="s">
        <v>741</v>
      </c>
      <c r="B126" t="s">
        <v>578</v>
      </c>
    </row>
    <row r="127" spans="1:4" x14ac:dyDescent="0.45">
      <c r="A127" t="s">
        <v>742</v>
      </c>
      <c r="B127" t="s">
        <v>580</v>
      </c>
      <c r="C127" t="s">
        <v>743</v>
      </c>
    </row>
    <row r="128" spans="1:4" x14ac:dyDescent="0.45">
      <c r="A128" t="s">
        <v>744</v>
      </c>
      <c r="B128" t="s">
        <v>583</v>
      </c>
      <c r="C128" t="s">
        <v>745</v>
      </c>
    </row>
    <row r="129" spans="1:3" x14ac:dyDescent="0.45">
      <c r="A129" t="s">
        <v>746</v>
      </c>
      <c r="B129" t="s">
        <v>586</v>
      </c>
    </row>
    <row r="130" spans="1:3" x14ac:dyDescent="0.45">
      <c r="A130" t="s">
        <v>747</v>
      </c>
      <c r="B130" t="s">
        <v>588</v>
      </c>
      <c r="C130" t="s">
        <v>748</v>
      </c>
    </row>
    <row r="131" spans="1:3" x14ac:dyDescent="0.45">
      <c r="A131" t="s">
        <v>749</v>
      </c>
      <c r="B131" t="s">
        <v>591</v>
      </c>
      <c r="C131" t="s">
        <v>750</v>
      </c>
    </row>
    <row r="132" spans="1:3" x14ac:dyDescent="0.45">
      <c r="A132" t="s">
        <v>751</v>
      </c>
      <c r="B132" t="s">
        <v>752</v>
      </c>
    </row>
    <row r="133" spans="1:3" x14ac:dyDescent="0.45">
      <c r="A133" t="s">
        <v>173</v>
      </c>
      <c r="B133" t="s">
        <v>173</v>
      </c>
    </row>
    <row r="134" spans="1:3" x14ac:dyDescent="0.45">
      <c r="A134" t="s">
        <v>173</v>
      </c>
      <c r="B134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262E9-E5D0-4C6C-84EC-55325D6F3C07}">
  <dimension ref="A1:G158"/>
  <sheetViews>
    <sheetView workbookViewId="0">
      <selection activeCell="I22" sqref="I22"/>
    </sheetView>
  </sheetViews>
  <sheetFormatPr defaultRowHeight="14.25" x14ac:dyDescent="0.45"/>
  <sheetData>
    <row r="1" spans="1:7" x14ac:dyDescent="0.45">
      <c r="A1" t="s">
        <v>391</v>
      </c>
      <c r="B1" t="s">
        <v>392</v>
      </c>
      <c r="C1" t="s">
        <v>393</v>
      </c>
      <c r="D1" t="s">
        <v>394</v>
      </c>
      <c r="E1" t="s">
        <v>395</v>
      </c>
      <c r="F1" t="s">
        <v>396</v>
      </c>
    </row>
    <row r="2" spans="1:7" x14ac:dyDescent="0.45">
      <c r="A2" s="19">
        <v>9.9305555555555553E-3</v>
      </c>
      <c r="B2">
        <v>1383</v>
      </c>
      <c r="C2" t="s">
        <v>397</v>
      </c>
      <c r="D2" t="s">
        <v>398</v>
      </c>
      <c r="E2">
        <v>-38.360379999999999</v>
      </c>
      <c r="F2">
        <v>144.81399999999999</v>
      </c>
      <c r="G2" t="s">
        <v>325</v>
      </c>
    </row>
    <row r="3" spans="1:7" x14ac:dyDescent="0.45">
      <c r="A3" s="19">
        <v>1.1215277777777777E-2</v>
      </c>
      <c r="B3">
        <v>1384</v>
      </c>
      <c r="C3" t="s">
        <v>397</v>
      </c>
      <c r="D3" t="s">
        <v>399</v>
      </c>
      <c r="E3">
        <v>-38.360610000000001</v>
      </c>
      <c r="F3">
        <v>144.81399999999999</v>
      </c>
      <c r="G3" t="s">
        <v>325</v>
      </c>
    </row>
    <row r="4" spans="1:7" x14ac:dyDescent="0.45">
      <c r="A4" s="19">
        <v>1.2939814814814815E-2</v>
      </c>
      <c r="B4">
        <v>1385</v>
      </c>
      <c r="C4" t="s">
        <v>397</v>
      </c>
      <c r="D4" t="s">
        <v>399</v>
      </c>
      <c r="E4">
        <v>-38.36074</v>
      </c>
      <c r="F4">
        <v>144.81399999999999</v>
      </c>
      <c r="G4" t="s">
        <v>325</v>
      </c>
    </row>
    <row r="5" spans="1:7" x14ac:dyDescent="0.45">
      <c r="A5" s="19">
        <v>1.4421296296296297E-2</v>
      </c>
      <c r="B5">
        <v>1386</v>
      </c>
      <c r="C5" t="s">
        <v>397</v>
      </c>
      <c r="D5" t="s">
        <v>400</v>
      </c>
      <c r="E5">
        <v>-38.360950000000003</v>
      </c>
      <c r="F5">
        <v>144.81399999999999</v>
      </c>
      <c r="G5" t="s">
        <v>325</v>
      </c>
    </row>
    <row r="6" spans="1:7" x14ac:dyDescent="0.45">
      <c r="A6" s="19">
        <v>1.5844907407407408E-2</v>
      </c>
      <c r="B6">
        <v>1387</v>
      </c>
      <c r="C6" t="s">
        <v>397</v>
      </c>
      <c r="D6" t="s">
        <v>401</v>
      </c>
      <c r="E6">
        <v>-38.361069999999998</v>
      </c>
      <c r="F6">
        <v>144.81399999999999</v>
      </c>
      <c r="G6" t="s">
        <v>325</v>
      </c>
    </row>
    <row r="7" spans="1:7" x14ac:dyDescent="0.45">
      <c r="A7" s="19">
        <v>1.8483796296296297E-2</v>
      </c>
      <c r="B7">
        <v>1388</v>
      </c>
      <c r="C7" t="s">
        <v>397</v>
      </c>
      <c r="D7" t="s">
        <v>402</v>
      </c>
      <c r="E7">
        <v>-38.361229999999999</v>
      </c>
      <c r="F7">
        <v>144.81399999999999</v>
      </c>
      <c r="G7" t="s">
        <v>325</v>
      </c>
    </row>
    <row r="8" spans="1:7" x14ac:dyDescent="0.45">
      <c r="A8" s="19">
        <v>1.9768518518518519E-2</v>
      </c>
      <c r="B8">
        <v>1389</v>
      </c>
      <c r="C8" t="s">
        <v>397</v>
      </c>
      <c r="D8" t="s">
        <v>403</v>
      </c>
      <c r="E8">
        <v>-38.361409999999999</v>
      </c>
      <c r="F8">
        <v>144.81399999999999</v>
      </c>
      <c r="G8" t="s">
        <v>325</v>
      </c>
    </row>
    <row r="9" spans="1:7" x14ac:dyDescent="0.45">
      <c r="A9" s="19">
        <v>2.1006944444444446E-2</v>
      </c>
      <c r="B9">
        <v>1390</v>
      </c>
      <c r="C9" t="s">
        <v>397</v>
      </c>
      <c r="D9" t="s">
        <v>404</v>
      </c>
      <c r="E9">
        <v>-38.361550000000001</v>
      </c>
      <c r="F9">
        <v>144.81399999999999</v>
      </c>
      <c r="G9" t="s">
        <v>325</v>
      </c>
    </row>
    <row r="10" spans="1:7" x14ac:dyDescent="0.45">
      <c r="A10" s="19">
        <v>2.2337962962962962E-2</v>
      </c>
      <c r="B10">
        <v>1391</v>
      </c>
      <c r="C10" t="s">
        <v>397</v>
      </c>
      <c r="D10" t="s">
        <v>405</v>
      </c>
      <c r="E10">
        <v>-38.361719999999998</v>
      </c>
      <c r="F10">
        <v>144.81399999999999</v>
      </c>
      <c r="G10" t="s">
        <v>325</v>
      </c>
    </row>
    <row r="11" spans="1:7" x14ac:dyDescent="0.45">
      <c r="A11" s="19">
        <v>2.375E-2</v>
      </c>
      <c r="B11">
        <v>1392</v>
      </c>
      <c r="C11" t="s">
        <v>397</v>
      </c>
      <c r="D11" t="s">
        <v>406</v>
      </c>
      <c r="E11">
        <v>-38.361829999999998</v>
      </c>
      <c r="F11">
        <v>144.81399999999999</v>
      </c>
      <c r="G11" t="s">
        <v>325</v>
      </c>
    </row>
    <row r="12" spans="1:7" x14ac:dyDescent="0.45">
      <c r="A12" s="19">
        <v>2.4236111111111111E-2</v>
      </c>
      <c r="B12">
        <v>1393</v>
      </c>
      <c r="C12" t="s">
        <v>397</v>
      </c>
      <c r="D12" t="s">
        <v>407</v>
      </c>
      <c r="E12">
        <v>-38.359610000000004</v>
      </c>
      <c r="F12">
        <v>144.82488000000001</v>
      </c>
      <c r="G12" t="s">
        <v>325</v>
      </c>
    </row>
    <row r="13" spans="1:7" x14ac:dyDescent="0.45">
      <c r="A13" s="19">
        <v>2.6458333333333334E-2</v>
      </c>
      <c r="B13">
        <v>1394</v>
      </c>
      <c r="C13" t="s">
        <v>397</v>
      </c>
      <c r="D13" t="s">
        <v>408</v>
      </c>
      <c r="E13">
        <v>-38.358170000000001</v>
      </c>
      <c r="F13">
        <v>144.81440000000001</v>
      </c>
      <c r="G13" t="s">
        <v>325</v>
      </c>
    </row>
    <row r="14" spans="1:7" x14ac:dyDescent="0.45">
      <c r="A14" s="19">
        <v>3.0243055555555554E-2</v>
      </c>
      <c r="B14">
        <v>1395</v>
      </c>
      <c r="C14" t="s">
        <v>397</v>
      </c>
      <c r="D14" t="s">
        <v>409</v>
      </c>
      <c r="E14">
        <v>-38.358170000000001</v>
      </c>
      <c r="F14">
        <v>144.81440000000001</v>
      </c>
      <c r="G14" t="s">
        <v>325</v>
      </c>
    </row>
    <row r="15" spans="1:7" x14ac:dyDescent="0.45">
      <c r="A15" s="19">
        <v>3.1469907407407405E-2</v>
      </c>
      <c r="B15">
        <v>1396</v>
      </c>
      <c r="C15" t="s">
        <v>397</v>
      </c>
      <c r="D15" t="s">
        <v>410</v>
      </c>
      <c r="E15">
        <v>-38.358170000000001</v>
      </c>
      <c r="F15">
        <v>144.81440000000001</v>
      </c>
      <c r="G15" t="s">
        <v>325</v>
      </c>
    </row>
    <row r="16" spans="1:7" x14ac:dyDescent="0.45">
      <c r="A16" s="19">
        <v>3.2557870370370369E-2</v>
      </c>
      <c r="B16">
        <v>1397</v>
      </c>
      <c r="C16" t="s">
        <v>397</v>
      </c>
      <c r="D16" t="s">
        <v>411</v>
      </c>
      <c r="E16">
        <v>-38.358170000000001</v>
      </c>
      <c r="F16">
        <v>144.81440000000001</v>
      </c>
      <c r="G16" t="s">
        <v>325</v>
      </c>
    </row>
    <row r="17" spans="1:7" x14ac:dyDescent="0.45">
      <c r="A17" s="19">
        <v>3.3738425925925929E-2</v>
      </c>
      <c r="B17">
        <v>1398</v>
      </c>
      <c r="C17" t="s">
        <v>397</v>
      </c>
      <c r="D17" t="s">
        <v>412</v>
      </c>
      <c r="E17">
        <v>-38.358170000000001</v>
      </c>
      <c r="F17">
        <v>144.81440000000001</v>
      </c>
      <c r="G17" t="s">
        <v>325</v>
      </c>
    </row>
    <row r="18" spans="1:7" x14ac:dyDescent="0.45">
      <c r="A18" s="19">
        <v>3.4965277777777776E-2</v>
      </c>
      <c r="B18">
        <v>1399</v>
      </c>
      <c r="C18" t="s">
        <v>397</v>
      </c>
      <c r="D18" t="s">
        <v>413</v>
      </c>
      <c r="E18">
        <v>-38.358170000000001</v>
      </c>
      <c r="F18">
        <v>144.81440000000001</v>
      </c>
      <c r="G18" t="s">
        <v>325</v>
      </c>
    </row>
    <row r="19" spans="1:7" x14ac:dyDescent="0.45">
      <c r="A19" s="19">
        <v>3.6006944444444446E-2</v>
      </c>
      <c r="B19">
        <v>1400</v>
      </c>
      <c r="C19" t="s">
        <v>397</v>
      </c>
      <c r="D19" t="s">
        <v>414</v>
      </c>
      <c r="E19">
        <v>-38.358620000000002</v>
      </c>
      <c r="F19">
        <v>144.81775999999999</v>
      </c>
      <c r="G19" t="s">
        <v>325</v>
      </c>
    </row>
    <row r="20" spans="1:7" x14ac:dyDescent="0.45">
      <c r="A20" s="19">
        <v>3.7557870370370373E-2</v>
      </c>
      <c r="B20">
        <v>1401</v>
      </c>
      <c r="C20" t="s">
        <v>397</v>
      </c>
      <c r="D20" t="s">
        <v>415</v>
      </c>
      <c r="E20">
        <v>-38.358440000000002</v>
      </c>
      <c r="F20">
        <v>144.81775999999999</v>
      </c>
      <c r="G20" t="s">
        <v>325</v>
      </c>
    </row>
    <row r="21" spans="1:7" x14ac:dyDescent="0.45">
      <c r="A21" s="19">
        <v>3.8645833333333331E-2</v>
      </c>
      <c r="B21">
        <v>1402</v>
      </c>
      <c r="C21" t="s">
        <v>397</v>
      </c>
      <c r="D21" t="s">
        <v>416</v>
      </c>
      <c r="E21">
        <v>-38.358319999999999</v>
      </c>
      <c r="F21">
        <v>144.81775999999999</v>
      </c>
      <c r="G21" t="s">
        <v>325</v>
      </c>
    </row>
    <row r="22" spans="1:7" x14ac:dyDescent="0.45">
      <c r="A22" s="19">
        <v>3.9641203703703706E-2</v>
      </c>
      <c r="B22">
        <v>1403</v>
      </c>
      <c r="C22" t="s">
        <v>397</v>
      </c>
      <c r="D22" t="s">
        <v>417</v>
      </c>
      <c r="E22">
        <v>-38.358150000000002</v>
      </c>
      <c r="F22">
        <v>144.81775999999999</v>
      </c>
      <c r="G22" t="s">
        <v>325</v>
      </c>
    </row>
    <row r="23" spans="1:7" x14ac:dyDescent="0.45">
      <c r="A23" s="19">
        <v>4.0798611111111112E-2</v>
      </c>
      <c r="B23">
        <v>1404</v>
      </c>
      <c r="C23" t="s">
        <v>397</v>
      </c>
      <c r="D23" t="s">
        <v>407</v>
      </c>
      <c r="E23">
        <v>-38.355879999999999</v>
      </c>
      <c r="F23">
        <v>144.81468000000001</v>
      </c>
      <c r="G23" t="s">
        <v>325</v>
      </c>
    </row>
    <row r="24" spans="1:7" x14ac:dyDescent="0.45">
      <c r="A24" s="19">
        <v>1.1574074074074073E-3</v>
      </c>
      <c r="B24">
        <v>1405</v>
      </c>
      <c r="C24" t="s">
        <v>397</v>
      </c>
      <c r="D24" t="s">
        <v>407</v>
      </c>
      <c r="E24">
        <v>-38.357149999999997</v>
      </c>
      <c r="F24">
        <v>144.82495</v>
      </c>
      <c r="G24" t="s">
        <v>325</v>
      </c>
    </row>
    <row r="25" spans="1:7" x14ac:dyDescent="0.45">
      <c r="A25" s="19">
        <v>2.0138888888888888E-3</v>
      </c>
      <c r="B25">
        <v>1406</v>
      </c>
      <c r="C25" t="s">
        <v>397</v>
      </c>
      <c r="D25" t="s">
        <v>418</v>
      </c>
      <c r="E25">
        <v>-38.355800000000002</v>
      </c>
      <c r="F25">
        <v>144.81462999999999</v>
      </c>
      <c r="G25" t="s">
        <v>325</v>
      </c>
    </row>
    <row r="26" spans="1:7" x14ac:dyDescent="0.45">
      <c r="A26" s="19">
        <v>3.2407407407407406E-3</v>
      </c>
      <c r="B26">
        <v>1407</v>
      </c>
      <c r="C26" t="s">
        <v>397</v>
      </c>
      <c r="D26" t="s">
        <v>419</v>
      </c>
      <c r="E26">
        <v>-38.355800000000002</v>
      </c>
      <c r="F26">
        <v>144.81462999999999</v>
      </c>
      <c r="G26" t="s">
        <v>325</v>
      </c>
    </row>
    <row r="27" spans="1:7" x14ac:dyDescent="0.45">
      <c r="A27" s="19">
        <v>4.31712962962963E-3</v>
      </c>
      <c r="B27">
        <v>1408</v>
      </c>
      <c r="C27" t="s">
        <v>397</v>
      </c>
      <c r="D27" t="s">
        <v>420</v>
      </c>
      <c r="E27">
        <v>-38.355800000000002</v>
      </c>
      <c r="F27">
        <v>144.81462999999999</v>
      </c>
      <c r="G27" t="s">
        <v>325</v>
      </c>
    </row>
    <row r="28" spans="1:7" x14ac:dyDescent="0.45">
      <c r="A28" s="19">
        <v>6.2847222222222219E-3</v>
      </c>
      <c r="B28">
        <v>1409</v>
      </c>
      <c r="C28" t="s">
        <v>397</v>
      </c>
      <c r="D28" t="s">
        <v>421</v>
      </c>
      <c r="E28">
        <v>-38.355800000000002</v>
      </c>
      <c r="F28">
        <v>144.81462999999999</v>
      </c>
      <c r="G28" t="s">
        <v>325</v>
      </c>
    </row>
    <row r="29" spans="1:7" x14ac:dyDescent="0.45">
      <c r="A29" s="19">
        <v>7.6041666666666671E-3</v>
      </c>
      <c r="B29">
        <v>1410</v>
      </c>
      <c r="C29" t="s">
        <v>397</v>
      </c>
      <c r="D29" t="s">
        <v>422</v>
      </c>
      <c r="E29">
        <v>-38.355800000000002</v>
      </c>
      <c r="F29">
        <v>144.81462999999999</v>
      </c>
      <c r="G29" t="s">
        <v>325</v>
      </c>
    </row>
    <row r="30" spans="1:7" x14ac:dyDescent="0.45">
      <c r="A30" s="19">
        <v>8.9004629629629625E-3</v>
      </c>
      <c r="B30">
        <v>1411</v>
      </c>
      <c r="C30" t="s">
        <v>397</v>
      </c>
      <c r="D30" t="s">
        <v>423</v>
      </c>
      <c r="E30">
        <v>-38.355800000000002</v>
      </c>
      <c r="F30">
        <v>144.81462999999999</v>
      </c>
      <c r="G30" t="s">
        <v>325</v>
      </c>
    </row>
    <row r="31" spans="1:7" x14ac:dyDescent="0.45">
      <c r="A31" s="19">
        <v>1.0381944444444444E-2</v>
      </c>
      <c r="B31">
        <v>1412</v>
      </c>
      <c r="C31" t="s">
        <v>397</v>
      </c>
      <c r="D31" t="s">
        <v>424</v>
      </c>
      <c r="E31">
        <v>-38.355800000000002</v>
      </c>
      <c r="F31">
        <v>144.81462999999999</v>
      </c>
      <c r="G31" t="s">
        <v>325</v>
      </c>
    </row>
    <row r="32" spans="1:7" x14ac:dyDescent="0.45">
      <c r="A32" s="19">
        <v>1.2013888888888888E-2</v>
      </c>
      <c r="B32">
        <v>1413</v>
      </c>
      <c r="C32" t="s">
        <v>397</v>
      </c>
      <c r="D32" t="s">
        <v>425</v>
      </c>
      <c r="E32">
        <v>-38.355800000000002</v>
      </c>
      <c r="F32">
        <v>144.81462999999999</v>
      </c>
      <c r="G32" t="s">
        <v>325</v>
      </c>
    </row>
    <row r="33" spans="1:7" x14ac:dyDescent="0.45">
      <c r="A33" s="19">
        <v>1.3425925925925926E-2</v>
      </c>
      <c r="B33">
        <v>1414</v>
      </c>
      <c r="C33" t="s">
        <v>397</v>
      </c>
      <c r="D33" t="s">
        <v>426</v>
      </c>
      <c r="E33">
        <v>-38.355800000000002</v>
      </c>
      <c r="F33">
        <v>144.81462999999999</v>
      </c>
      <c r="G33" t="s">
        <v>325</v>
      </c>
    </row>
    <row r="34" spans="1:7" x14ac:dyDescent="0.45">
      <c r="A34" s="19">
        <v>1.4675925925925926E-2</v>
      </c>
      <c r="B34">
        <v>1415</v>
      </c>
      <c r="C34" t="s">
        <v>397</v>
      </c>
      <c r="D34" t="s">
        <v>427</v>
      </c>
      <c r="E34">
        <v>-38.355800000000002</v>
      </c>
      <c r="F34">
        <v>144.81462999999999</v>
      </c>
      <c r="G34" t="s">
        <v>325</v>
      </c>
    </row>
    <row r="35" spans="1:7" x14ac:dyDescent="0.45">
      <c r="A35" s="19">
        <v>4.6759259259259263E-3</v>
      </c>
      <c r="B35">
        <v>1416</v>
      </c>
      <c r="C35" t="s">
        <v>397</v>
      </c>
      <c r="D35" t="s">
        <v>407</v>
      </c>
      <c r="E35">
        <v>-38.354999999999997</v>
      </c>
      <c r="F35">
        <v>144.82562999999999</v>
      </c>
      <c r="G35" t="s">
        <v>325</v>
      </c>
    </row>
    <row r="36" spans="1:7" x14ac:dyDescent="0.45">
      <c r="A36" s="19">
        <v>6.7592592592592591E-3</v>
      </c>
      <c r="B36">
        <v>1417</v>
      </c>
      <c r="C36" t="s">
        <v>397</v>
      </c>
      <c r="D36" t="s">
        <v>407</v>
      </c>
      <c r="E36">
        <v>-38.353459999999998</v>
      </c>
      <c r="F36">
        <v>144.81545</v>
      </c>
      <c r="G36" t="s">
        <v>325</v>
      </c>
    </row>
    <row r="37" spans="1:7" x14ac:dyDescent="0.45">
      <c r="A37" s="19">
        <v>9.525462962962963E-3</v>
      </c>
      <c r="B37">
        <v>1418</v>
      </c>
      <c r="C37" t="s">
        <v>397</v>
      </c>
      <c r="D37" t="s">
        <v>428</v>
      </c>
      <c r="E37">
        <v>-38.354810000000001</v>
      </c>
      <c r="F37">
        <v>144.82435000000001</v>
      </c>
      <c r="G37" t="s">
        <v>325</v>
      </c>
    </row>
    <row r="38" spans="1:7" x14ac:dyDescent="0.45">
      <c r="A38" s="19">
        <v>1.0567129629629629E-2</v>
      </c>
      <c r="B38">
        <v>1419</v>
      </c>
      <c r="C38" t="s">
        <v>397</v>
      </c>
      <c r="D38" t="s">
        <v>429</v>
      </c>
      <c r="E38">
        <v>-38.354590000000002</v>
      </c>
      <c r="F38">
        <v>144.82328999999999</v>
      </c>
      <c r="G38" t="s">
        <v>325</v>
      </c>
    </row>
    <row r="39" spans="1:7" x14ac:dyDescent="0.45">
      <c r="A39" s="19">
        <v>1.1666666666666667E-2</v>
      </c>
      <c r="B39">
        <v>1420</v>
      </c>
      <c r="C39" t="s">
        <v>397</v>
      </c>
      <c r="D39" t="s">
        <v>430</v>
      </c>
      <c r="E39">
        <v>-38.354590000000002</v>
      </c>
      <c r="F39">
        <v>144.82216</v>
      </c>
      <c r="G39" t="s">
        <v>325</v>
      </c>
    </row>
    <row r="40" spans="1:7" x14ac:dyDescent="0.45">
      <c r="A40" s="19">
        <v>1.2685185185185185E-2</v>
      </c>
      <c r="B40">
        <v>1421</v>
      </c>
      <c r="C40" t="s">
        <v>397</v>
      </c>
      <c r="D40" t="s">
        <v>431</v>
      </c>
      <c r="E40">
        <v>-38.354590000000002</v>
      </c>
      <c r="F40">
        <v>144.82216</v>
      </c>
      <c r="G40" t="s">
        <v>325</v>
      </c>
    </row>
    <row r="41" spans="1:7" x14ac:dyDescent="0.45">
      <c r="A41" s="19">
        <v>1.3969907407407407E-2</v>
      </c>
      <c r="B41">
        <v>1422</v>
      </c>
      <c r="C41" t="s">
        <v>397</v>
      </c>
      <c r="D41" t="s">
        <v>432</v>
      </c>
      <c r="E41">
        <v>-38.354590000000002</v>
      </c>
      <c r="F41">
        <v>144.82216</v>
      </c>
      <c r="G41" t="s">
        <v>325</v>
      </c>
    </row>
    <row r="42" spans="1:7" x14ac:dyDescent="0.45">
      <c r="A42" s="19">
        <v>1.5138888888888889E-2</v>
      </c>
      <c r="B42">
        <v>1423</v>
      </c>
      <c r="C42" t="s">
        <v>397</v>
      </c>
      <c r="D42" t="s">
        <v>433</v>
      </c>
      <c r="E42">
        <v>-38.354590000000002</v>
      </c>
      <c r="F42">
        <v>144.82216</v>
      </c>
      <c r="G42" t="s">
        <v>325</v>
      </c>
    </row>
    <row r="43" spans="1:7" x14ac:dyDescent="0.45">
      <c r="A43" s="19">
        <v>1.6087962962962964E-2</v>
      </c>
      <c r="B43">
        <v>1424</v>
      </c>
      <c r="C43" t="s">
        <v>397</v>
      </c>
      <c r="D43" t="s">
        <v>434</v>
      </c>
      <c r="E43">
        <v>-38.354590000000002</v>
      </c>
      <c r="F43">
        <v>144.82216</v>
      </c>
      <c r="G43" t="s">
        <v>325</v>
      </c>
    </row>
    <row r="44" spans="1:7" x14ac:dyDescent="0.45">
      <c r="A44" s="19">
        <v>1.7152777777777777E-2</v>
      </c>
      <c r="B44">
        <v>1425</v>
      </c>
      <c r="C44" t="s">
        <v>397</v>
      </c>
      <c r="D44" t="s">
        <v>435</v>
      </c>
      <c r="E44">
        <v>-38.354590000000002</v>
      </c>
      <c r="F44">
        <v>144.82216</v>
      </c>
      <c r="G44" t="s">
        <v>325</v>
      </c>
    </row>
    <row r="45" spans="1:7" x14ac:dyDescent="0.45">
      <c r="A45" s="19">
        <v>1.8055555555555554E-2</v>
      </c>
      <c r="B45">
        <v>1426</v>
      </c>
      <c r="C45" t="s">
        <v>397</v>
      </c>
      <c r="D45" t="s">
        <v>436</v>
      </c>
      <c r="E45">
        <v>-38.354590000000002</v>
      </c>
      <c r="F45">
        <v>144.82216</v>
      </c>
      <c r="G45" t="s">
        <v>325</v>
      </c>
    </row>
    <row r="46" spans="1:7" x14ac:dyDescent="0.45">
      <c r="A46" s="19">
        <v>1.8379629629629631E-2</v>
      </c>
      <c r="B46">
        <v>1427</v>
      </c>
      <c r="C46" t="s">
        <v>397</v>
      </c>
      <c r="D46" t="s">
        <v>407</v>
      </c>
      <c r="E46">
        <v>-38.35125</v>
      </c>
      <c r="F46">
        <v>144.81626</v>
      </c>
      <c r="G46" t="s">
        <v>325</v>
      </c>
    </row>
    <row r="47" spans="1:7" x14ac:dyDescent="0.45">
      <c r="A47" s="19">
        <v>2.0833333333333332E-2</v>
      </c>
      <c r="B47">
        <v>1429</v>
      </c>
      <c r="C47" t="s">
        <v>397</v>
      </c>
      <c r="D47" t="s">
        <v>407</v>
      </c>
      <c r="E47">
        <v>-38.352609999999999</v>
      </c>
      <c r="F47">
        <v>144.82631000000001</v>
      </c>
      <c r="G47" t="s">
        <v>325</v>
      </c>
    </row>
    <row r="48" spans="1:7" x14ac:dyDescent="0.45">
      <c r="A48" s="19">
        <v>2.1388888888888888E-2</v>
      </c>
      <c r="B48">
        <v>1430</v>
      </c>
      <c r="C48" t="s">
        <v>397</v>
      </c>
      <c r="D48" t="s">
        <v>437</v>
      </c>
      <c r="E48">
        <v>-38.351019999999998</v>
      </c>
      <c r="F48">
        <v>144.81609</v>
      </c>
      <c r="G48" t="s">
        <v>325</v>
      </c>
    </row>
    <row r="49" spans="1:7" x14ac:dyDescent="0.45">
      <c r="A49" s="19">
        <v>2.2928240740740742E-2</v>
      </c>
      <c r="B49">
        <v>1431</v>
      </c>
      <c r="C49" t="s">
        <v>397</v>
      </c>
      <c r="D49" t="s">
        <v>438</v>
      </c>
      <c r="E49">
        <v>-38.351230000000001</v>
      </c>
      <c r="F49">
        <v>144.81729999999999</v>
      </c>
      <c r="G49" t="s">
        <v>325</v>
      </c>
    </row>
    <row r="50" spans="1:7" x14ac:dyDescent="0.45">
      <c r="A50" s="19">
        <v>2.4363425925925927E-2</v>
      </c>
      <c r="B50">
        <v>1432</v>
      </c>
      <c r="C50" t="s">
        <v>397</v>
      </c>
      <c r="D50" t="s">
        <v>439</v>
      </c>
      <c r="E50">
        <v>-38.351430000000001</v>
      </c>
      <c r="F50">
        <v>144.81844000000001</v>
      </c>
      <c r="G50" t="s">
        <v>325</v>
      </c>
    </row>
    <row r="51" spans="1:7" x14ac:dyDescent="0.45">
      <c r="A51" s="19">
        <v>2.5590277777777778E-2</v>
      </c>
      <c r="B51">
        <v>1433</v>
      </c>
      <c r="C51" t="s">
        <v>397</v>
      </c>
      <c r="D51" t="s">
        <v>440</v>
      </c>
      <c r="E51">
        <v>-38.351550000000003</v>
      </c>
      <c r="F51">
        <v>144.81958</v>
      </c>
      <c r="G51" t="s">
        <v>325</v>
      </c>
    </row>
    <row r="52" spans="1:7" x14ac:dyDescent="0.45">
      <c r="A52" s="19">
        <v>2.7060185185185184E-2</v>
      </c>
      <c r="B52">
        <v>1434</v>
      </c>
      <c r="C52" t="s">
        <v>397</v>
      </c>
      <c r="D52" t="s">
        <v>441</v>
      </c>
      <c r="E52">
        <v>-38.351770000000002</v>
      </c>
      <c r="F52">
        <v>144.82062999999999</v>
      </c>
      <c r="G52" t="s">
        <v>325</v>
      </c>
    </row>
    <row r="53" spans="1:7" x14ac:dyDescent="0.45">
      <c r="A53" s="19">
        <v>2.8252314814814813E-2</v>
      </c>
      <c r="B53">
        <v>1435</v>
      </c>
      <c r="C53" t="s">
        <v>397</v>
      </c>
      <c r="D53" t="s">
        <v>442</v>
      </c>
      <c r="E53">
        <v>-38.351930000000003</v>
      </c>
      <c r="F53">
        <v>144.82181</v>
      </c>
      <c r="G53" t="s">
        <v>325</v>
      </c>
    </row>
    <row r="54" spans="1:7" x14ac:dyDescent="0.45">
      <c r="A54" s="19">
        <v>3.1203703703703702E-2</v>
      </c>
      <c r="B54">
        <v>1436</v>
      </c>
      <c r="C54" t="s">
        <v>397</v>
      </c>
      <c r="D54" t="s">
        <v>443</v>
      </c>
      <c r="E54">
        <v>-38.352089999999997</v>
      </c>
      <c r="F54">
        <v>144.82286999999999</v>
      </c>
      <c r="G54" t="s">
        <v>325</v>
      </c>
    </row>
    <row r="55" spans="1:7" x14ac:dyDescent="0.45">
      <c r="A55" s="19">
        <v>3.2673611111111112E-2</v>
      </c>
      <c r="B55">
        <v>1437</v>
      </c>
      <c r="C55" t="s">
        <v>397</v>
      </c>
      <c r="D55" t="s">
        <v>444</v>
      </c>
      <c r="E55">
        <v>-38.352260000000001</v>
      </c>
      <c r="F55">
        <v>144.82405</v>
      </c>
      <c r="G55" t="s">
        <v>325</v>
      </c>
    </row>
    <row r="56" spans="1:7" x14ac:dyDescent="0.45">
      <c r="A56" s="19">
        <v>3.408564814814815E-2</v>
      </c>
      <c r="B56">
        <v>1438</v>
      </c>
      <c r="C56" t="s">
        <v>397</v>
      </c>
      <c r="D56" t="s">
        <v>445</v>
      </c>
      <c r="E56">
        <v>-38.35239</v>
      </c>
      <c r="F56">
        <v>144.82513</v>
      </c>
      <c r="G56" t="s">
        <v>325</v>
      </c>
    </row>
    <row r="57" spans="1:7" x14ac:dyDescent="0.45">
      <c r="A57" s="19">
        <v>3.5208333333333335E-2</v>
      </c>
      <c r="B57">
        <v>1439</v>
      </c>
      <c r="C57" t="s">
        <v>397</v>
      </c>
      <c r="D57" t="s">
        <v>446</v>
      </c>
      <c r="E57">
        <v>-38.35239</v>
      </c>
      <c r="F57">
        <v>144.82626999999999</v>
      </c>
      <c r="G57" t="s">
        <v>325</v>
      </c>
    </row>
    <row r="58" spans="1:7" x14ac:dyDescent="0.45">
      <c r="A58" s="19">
        <v>1.1111111111111111E-3</v>
      </c>
      <c r="B58">
        <v>1440</v>
      </c>
      <c r="C58" t="s">
        <v>397</v>
      </c>
      <c r="D58" t="s">
        <v>447</v>
      </c>
      <c r="E58">
        <v>-38.35239</v>
      </c>
      <c r="F58">
        <v>145.08528999999999</v>
      </c>
      <c r="G58" t="s">
        <v>448</v>
      </c>
    </row>
    <row r="59" spans="1:7" x14ac:dyDescent="0.45">
      <c r="A59" s="19">
        <v>3.0787037037037037E-3</v>
      </c>
      <c r="B59">
        <v>1441</v>
      </c>
      <c r="C59" t="s">
        <v>397</v>
      </c>
      <c r="D59" t="s">
        <v>449</v>
      </c>
      <c r="E59">
        <v>-38.35239</v>
      </c>
      <c r="F59">
        <v>145.08528999999999</v>
      </c>
      <c r="G59" t="s">
        <v>448</v>
      </c>
    </row>
    <row r="60" spans="1:7" x14ac:dyDescent="0.45">
      <c r="A60" s="19">
        <v>4.4791666666666669E-3</v>
      </c>
      <c r="B60">
        <v>1442</v>
      </c>
      <c r="C60" t="s">
        <v>397</v>
      </c>
      <c r="D60" t="s">
        <v>450</v>
      </c>
      <c r="E60">
        <v>-38.01614</v>
      </c>
      <c r="F60">
        <v>145.08356000000001</v>
      </c>
      <c r="G60" t="s">
        <v>448</v>
      </c>
    </row>
    <row r="61" spans="1:7" x14ac:dyDescent="0.45">
      <c r="A61" s="19">
        <v>5.7754629629629631E-3</v>
      </c>
      <c r="B61">
        <v>1443</v>
      </c>
      <c r="C61" t="s">
        <v>397</v>
      </c>
      <c r="D61" t="s">
        <v>451</v>
      </c>
      <c r="E61">
        <v>-38.01614</v>
      </c>
      <c r="F61">
        <v>145.08356000000001</v>
      </c>
      <c r="G61" t="s">
        <v>448</v>
      </c>
    </row>
    <row r="62" spans="1:7" x14ac:dyDescent="0.45">
      <c r="A62" s="19">
        <v>7.1527777777777779E-3</v>
      </c>
      <c r="B62">
        <v>1444</v>
      </c>
      <c r="C62" t="s">
        <v>397</v>
      </c>
      <c r="D62" t="s">
        <v>452</v>
      </c>
      <c r="E62">
        <v>-38.01614</v>
      </c>
      <c r="F62">
        <v>145.08197999999999</v>
      </c>
      <c r="G62" t="s">
        <v>448</v>
      </c>
    </row>
    <row r="63" spans="1:7" x14ac:dyDescent="0.45">
      <c r="A63" s="19">
        <v>8.4027777777777781E-3</v>
      </c>
      <c r="B63">
        <v>1445</v>
      </c>
      <c r="C63" t="s">
        <v>397</v>
      </c>
      <c r="D63" t="s">
        <v>453</v>
      </c>
      <c r="E63">
        <v>-38.014240000000001</v>
      </c>
      <c r="F63">
        <v>145.08116000000001</v>
      </c>
      <c r="G63" t="s">
        <v>448</v>
      </c>
    </row>
    <row r="64" spans="1:7" x14ac:dyDescent="0.45">
      <c r="A64" s="19">
        <v>9.4097222222222221E-3</v>
      </c>
      <c r="B64">
        <v>1446</v>
      </c>
      <c r="C64" t="s">
        <v>397</v>
      </c>
      <c r="D64" t="s">
        <v>454</v>
      </c>
      <c r="E64">
        <v>-38.013629999999999</v>
      </c>
      <c r="F64">
        <v>145.08038999999999</v>
      </c>
      <c r="G64" t="s">
        <v>448</v>
      </c>
    </row>
    <row r="65" spans="1:7" x14ac:dyDescent="0.45">
      <c r="A65" s="19">
        <v>1.0451388888888889E-2</v>
      </c>
      <c r="B65">
        <v>1447</v>
      </c>
      <c r="C65" t="s">
        <v>397</v>
      </c>
      <c r="D65" t="s">
        <v>455</v>
      </c>
      <c r="E65">
        <v>-38.012929999999997</v>
      </c>
      <c r="F65">
        <v>145.07953000000001</v>
      </c>
      <c r="G65" t="s">
        <v>448</v>
      </c>
    </row>
    <row r="66" spans="1:7" x14ac:dyDescent="0.45">
      <c r="A66" s="19">
        <v>1.15625E-2</v>
      </c>
      <c r="B66">
        <v>1448</v>
      </c>
      <c r="C66" t="s">
        <v>397</v>
      </c>
      <c r="D66" t="s">
        <v>456</v>
      </c>
      <c r="E66">
        <v>-38.012270000000001</v>
      </c>
      <c r="F66">
        <v>145.07873000000001</v>
      </c>
      <c r="G66" t="s">
        <v>448</v>
      </c>
    </row>
    <row r="67" spans="1:7" x14ac:dyDescent="0.45">
      <c r="A67" s="19">
        <v>1.2638888888888889E-2</v>
      </c>
      <c r="B67">
        <v>1449</v>
      </c>
      <c r="C67" t="s">
        <v>397</v>
      </c>
      <c r="D67" t="s">
        <v>457</v>
      </c>
      <c r="E67">
        <v>-38.011659999999999</v>
      </c>
      <c r="F67">
        <v>145.07794999999999</v>
      </c>
      <c r="G67" t="s">
        <v>448</v>
      </c>
    </row>
    <row r="68" spans="1:7" x14ac:dyDescent="0.45">
      <c r="A68" s="19">
        <v>1.4594907407407407E-2</v>
      </c>
      <c r="B68">
        <v>1450</v>
      </c>
      <c r="C68" t="s">
        <v>397</v>
      </c>
      <c r="D68" t="s">
        <v>458</v>
      </c>
      <c r="E68">
        <v>-38.013210000000001</v>
      </c>
      <c r="F68">
        <v>145.07570000000001</v>
      </c>
      <c r="G68" t="s">
        <v>448</v>
      </c>
    </row>
    <row r="69" spans="1:7" x14ac:dyDescent="0.45">
      <c r="A69" s="19">
        <v>1.5601851851851851E-2</v>
      </c>
      <c r="B69">
        <v>1451</v>
      </c>
      <c r="C69" t="s">
        <v>397</v>
      </c>
      <c r="D69" t="s">
        <v>459</v>
      </c>
      <c r="E69">
        <v>-38.013770000000001</v>
      </c>
      <c r="F69">
        <v>145.07642000000001</v>
      </c>
      <c r="G69" t="s">
        <v>448</v>
      </c>
    </row>
    <row r="70" spans="1:7" x14ac:dyDescent="0.45">
      <c r="A70" s="19">
        <v>1.6562500000000001E-2</v>
      </c>
      <c r="B70">
        <v>1452</v>
      </c>
      <c r="C70" t="s">
        <v>397</v>
      </c>
      <c r="D70" t="s">
        <v>460</v>
      </c>
      <c r="E70">
        <v>-38.014420000000001</v>
      </c>
      <c r="F70">
        <v>145.07727</v>
      </c>
      <c r="G70" t="s">
        <v>448</v>
      </c>
    </row>
    <row r="71" spans="1:7" x14ac:dyDescent="0.45">
      <c r="A71" s="19">
        <v>1.7546296296296296E-2</v>
      </c>
      <c r="B71">
        <v>1453</v>
      </c>
      <c r="C71" t="s">
        <v>397</v>
      </c>
      <c r="D71" t="s">
        <v>461</v>
      </c>
      <c r="E71">
        <v>-38.015059999999998</v>
      </c>
      <c r="F71">
        <v>145.07804999999999</v>
      </c>
      <c r="G71" t="s">
        <v>448</v>
      </c>
    </row>
    <row r="72" spans="1:7" x14ac:dyDescent="0.45">
      <c r="A72" s="19">
        <v>1.8425925925925925E-2</v>
      </c>
      <c r="B72">
        <v>1454</v>
      </c>
      <c r="C72" t="s">
        <v>397</v>
      </c>
      <c r="D72" t="s">
        <v>462</v>
      </c>
      <c r="E72">
        <v>-38.015680000000003</v>
      </c>
      <c r="F72">
        <v>145.07884999999999</v>
      </c>
      <c r="G72" t="s">
        <v>448</v>
      </c>
    </row>
    <row r="73" spans="1:7" x14ac:dyDescent="0.45">
      <c r="A73" s="19">
        <v>1.9363425925925926E-2</v>
      </c>
      <c r="B73">
        <v>1455</v>
      </c>
      <c r="C73" t="s">
        <v>397</v>
      </c>
      <c r="D73" t="s">
        <v>463</v>
      </c>
      <c r="E73">
        <v>-38.016309999999997</v>
      </c>
      <c r="F73">
        <v>145.07964999999999</v>
      </c>
      <c r="G73" t="s">
        <v>448</v>
      </c>
    </row>
    <row r="74" spans="1:7" x14ac:dyDescent="0.45">
      <c r="A74" s="19">
        <v>2.1030092592592593E-2</v>
      </c>
      <c r="B74">
        <v>1456</v>
      </c>
      <c r="C74" t="s">
        <v>397</v>
      </c>
      <c r="D74" t="s">
        <v>464</v>
      </c>
      <c r="E74">
        <v>-38.016959999999997</v>
      </c>
      <c r="F74">
        <v>145.08056999999999</v>
      </c>
      <c r="G74" t="s">
        <v>448</v>
      </c>
    </row>
    <row r="75" spans="1:7" x14ac:dyDescent="0.45">
      <c r="A75" s="19">
        <v>2.224537037037037E-2</v>
      </c>
      <c r="B75">
        <v>1457</v>
      </c>
      <c r="C75" t="s">
        <v>397</v>
      </c>
      <c r="D75" t="s">
        <v>465</v>
      </c>
      <c r="E75">
        <v>-38.017569999999999</v>
      </c>
      <c r="F75">
        <v>145.08125000000001</v>
      </c>
      <c r="G75" t="s">
        <v>448</v>
      </c>
    </row>
    <row r="76" spans="1:7" x14ac:dyDescent="0.45">
      <c r="A76" s="19">
        <v>2.3287037037037037E-2</v>
      </c>
      <c r="B76">
        <v>1458</v>
      </c>
      <c r="C76" t="s">
        <v>397</v>
      </c>
      <c r="D76" t="s">
        <v>466</v>
      </c>
      <c r="E76">
        <v>-38.018239999999999</v>
      </c>
      <c r="F76">
        <v>145.08217999999999</v>
      </c>
      <c r="G76" t="s">
        <v>448</v>
      </c>
    </row>
    <row r="77" spans="1:7" x14ac:dyDescent="0.45">
      <c r="A77" s="19">
        <v>2.4224537037037037E-2</v>
      </c>
      <c r="B77">
        <v>1459</v>
      </c>
      <c r="C77" t="s">
        <v>397</v>
      </c>
      <c r="D77" t="s">
        <v>467</v>
      </c>
      <c r="E77">
        <v>-38.018819999999998</v>
      </c>
      <c r="F77">
        <v>145.08295000000001</v>
      </c>
      <c r="G77" t="s">
        <v>448</v>
      </c>
    </row>
    <row r="78" spans="1:7" x14ac:dyDescent="0.45">
      <c r="A78" s="19">
        <v>2.71875E-2</v>
      </c>
      <c r="B78">
        <v>1460</v>
      </c>
      <c r="C78" t="s">
        <v>397</v>
      </c>
      <c r="D78" t="s">
        <v>468</v>
      </c>
      <c r="E78">
        <v>-38.020359999999997</v>
      </c>
      <c r="F78">
        <v>145.08088000000001</v>
      </c>
      <c r="G78" t="s">
        <v>448</v>
      </c>
    </row>
    <row r="79" spans="1:7" x14ac:dyDescent="0.45">
      <c r="A79" s="19">
        <v>2.8888888888888888E-2</v>
      </c>
      <c r="B79">
        <v>1461</v>
      </c>
      <c r="C79" t="s">
        <v>397</v>
      </c>
      <c r="D79" t="s">
        <v>469</v>
      </c>
      <c r="E79">
        <v>-38.019799999999996</v>
      </c>
      <c r="F79">
        <v>145.08006</v>
      </c>
      <c r="G79" t="s">
        <v>448</v>
      </c>
    </row>
    <row r="80" spans="1:7" x14ac:dyDescent="0.45">
      <c r="A80" s="19">
        <v>3.0081018518518517E-2</v>
      </c>
      <c r="B80">
        <v>1462</v>
      </c>
      <c r="C80" t="s">
        <v>397</v>
      </c>
      <c r="D80" t="s">
        <v>470</v>
      </c>
      <c r="E80">
        <v>-38.019039999999997</v>
      </c>
      <c r="F80">
        <v>145.07924</v>
      </c>
      <c r="G80" t="s">
        <v>448</v>
      </c>
    </row>
    <row r="81" spans="1:7" x14ac:dyDescent="0.45">
      <c r="A81" s="19">
        <v>3.1354166666666669E-2</v>
      </c>
      <c r="B81">
        <v>1463</v>
      </c>
      <c r="C81" t="s">
        <v>397</v>
      </c>
      <c r="D81" t="s">
        <v>471</v>
      </c>
      <c r="E81">
        <v>-38.0184</v>
      </c>
      <c r="F81">
        <v>145.07839999999999</v>
      </c>
      <c r="G81" t="s">
        <v>448</v>
      </c>
    </row>
    <row r="82" spans="1:7" x14ac:dyDescent="0.45">
      <c r="A82" s="19">
        <v>3.2638888888888891E-2</v>
      </c>
      <c r="B82">
        <v>1464</v>
      </c>
      <c r="C82" t="s">
        <v>397</v>
      </c>
      <c r="D82" t="s">
        <v>472</v>
      </c>
      <c r="E82">
        <v>-38.017829999999996</v>
      </c>
      <c r="F82">
        <v>145.07760999999999</v>
      </c>
      <c r="G82" t="s">
        <v>448</v>
      </c>
    </row>
    <row r="83" spans="1:7" x14ac:dyDescent="0.45">
      <c r="A83" s="19">
        <v>3.3888888888888892E-2</v>
      </c>
      <c r="B83">
        <v>1465</v>
      </c>
      <c r="C83" t="s">
        <v>397</v>
      </c>
      <c r="D83" t="s">
        <v>473</v>
      </c>
      <c r="E83">
        <v>-38.017229999999998</v>
      </c>
      <c r="F83">
        <v>145.07682</v>
      </c>
      <c r="G83" t="s">
        <v>448</v>
      </c>
    </row>
    <row r="84" spans="1:7" x14ac:dyDescent="0.45">
      <c r="A84" s="19">
        <v>3.5393518518518519E-2</v>
      </c>
      <c r="B84">
        <v>1466</v>
      </c>
      <c r="C84" t="s">
        <v>397</v>
      </c>
      <c r="D84" t="s">
        <v>474</v>
      </c>
      <c r="E84">
        <v>-38.016550000000002</v>
      </c>
      <c r="F84">
        <v>145.07602</v>
      </c>
      <c r="G84" t="s">
        <v>448</v>
      </c>
    </row>
    <row r="85" spans="1:7" x14ac:dyDescent="0.45">
      <c r="A85" s="19">
        <v>3.667824074074074E-2</v>
      </c>
      <c r="B85">
        <v>1467</v>
      </c>
      <c r="C85" t="s">
        <v>397</v>
      </c>
      <c r="D85" t="s">
        <v>475</v>
      </c>
      <c r="E85">
        <v>-38.015909999999998</v>
      </c>
      <c r="F85">
        <v>145.07517999999999</v>
      </c>
      <c r="G85" t="s">
        <v>448</v>
      </c>
    </row>
    <row r="86" spans="1:7" x14ac:dyDescent="0.45">
      <c r="A86" s="19">
        <v>3.802083333333333E-2</v>
      </c>
      <c r="B86">
        <v>1468</v>
      </c>
      <c r="C86" t="s">
        <v>397</v>
      </c>
      <c r="D86" t="s">
        <v>476</v>
      </c>
      <c r="E86">
        <v>-38.015270000000001</v>
      </c>
      <c r="F86">
        <v>145.07431</v>
      </c>
      <c r="G86" t="s">
        <v>448</v>
      </c>
    </row>
    <row r="87" spans="1:7" x14ac:dyDescent="0.45">
      <c r="A87" s="19">
        <v>3.9398148148148147E-2</v>
      </c>
      <c r="B87">
        <v>1469</v>
      </c>
      <c r="C87" t="s">
        <v>397</v>
      </c>
      <c r="D87" t="s">
        <v>477</v>
      </c>
      <c r="E87">
        <v>-38.014650000000003</v>
      </c>
      <c r="F87">
        <v>145.07355999999999</v>
      </c>
      <c r="G87" t="s">
        <v>448</v>
      </c>
    </row>
    <row r="88" spans="1:7" x14ac:dyDescent="0.45">
      <c r="A88" s="19">
        <v>1.7361111111111112E-4</v>
      </c>
      <c r="B88">
        <v>1470</v>
      </c>
      <c r="C88" t="s">
        <v>397</v>
      </c>
      <c r="D88" t="s">
        <v>478</v>
      </c>
      <c r="E88">
        <v>-38.016129999999997</v>
      </c>
      <c r="F88">
        <v>145.07141999999999</v>
      </c>
      <c r="G88" t="s">
        <v>448</v>
      </c>
    </row>
    <row r="89" spans="1:7" x14ac:dyDescent="0.45">
      <c r="A89" s="19">
        <v>1.4467592592592592E-3</v>
      </c>
      <c r="B89">
        <v>1471</v>
      </c>
      <c r="C89" t="s">
        <v>397</v>
      </c>
      <c r="D89" t="s">
        <v>479</v>
      </c>
      <c r="E89">
        <v>-38.016669999999998</v>
      </c>
      <c r="F89">
        <v>145.07216</v>
      </c>
      <c r="G89" t="s">
        <v>448</v>
      </c>
    </row>
    <row r="90" spans="1:7" x14ac:dyDescent="0.45">
      <c r="A90" s="19">
        <v>2.476851851851852E-3</v>
      </c>
      <c r="B90">
        <v>1472</v>
      </c>
      <c r="C90" t="s">
        <v>397</v>
      </c>
      <c r="D90" t="s">
        <v>480</v>
      </c>
      <c r="E90">
        <v>-38.01735</v>
      </c>
      <c r="F90">
        <v>145.07300000000001</v>
      </c>
      <c r="G90" t="s">
        <v>448</v>
      </c>
    </row>
    <row r="91" spans="1:7" x14ac:dyDescent="0.45">
      <c r="A91" s="19">
        <v>3.5416666666666665E-3</v>
      </c>
      <c r="B91">
        <v>1473</v>
      </c>
      <c r="C91" t="s">
        <v>397</v>
      </c>
      <c r="D91" t="s">
        <v>481</v>
      </c>
      <c r="E91">
        <v>-38.017919999999997</v>
      </c>
      <c r="F91">
        <v>145.0737</v>
      </c>
      <c r="G91" t="s">
        <v>448</v>
      </c>
    </row>
    <row r="92" spans="1:7" x14ac:dyDescent="0.45">
      <c r="A92" s="19">
        <v>4.6296296296296294E-3</v>
      </c>
      <c r="B92">
        <v>1474</v>
      </c>
      <c r="C92" t="s">
        <v>397</v>
      </c>
      <c r="D92" t="s">
        <v>482</v>
      </c>
      <c r="E92">
        <v>-38.018650000000001</v>
      </c>
      <c r="F92">
        <v>145.07459</v>
      </c>
      <c r="G92" t="s">
        <v>448</v>
      </c>
    </row>
    <row r="93" spans="1:7" x14ac:dyDescent="0.45">
      <c r="A93" s="19">
        <v>5.7523148148148151E-3</v>
      </c>
      <c r="B93">
        <v>1475</v>
      </c>
      <c r="C93" t="s">
        <v>397</v>
      </c>
      <c r="D93" t="s">
        <v>483</v>
      </c>
      <c r="E93">
        <v>-38.01923</v>
      </c>
      <c r="F93">
        <v>145.07534000000001</v>
      </c>
      <c r="G93" t="s">
        <v>448</v>
      </c>
    </row>
    <row r="94" spans="1:7" x14ac:dyDescent="0.45">
      <c r="A94" s="19">
        <v>6.7245370370370367E-3</v>
      </c>
      <c r="B94">
        <v>1476</v>
      </c>
      <c r="C94" t="s">
        <v>397</v>
      </c>
      <c r="D94" t="s">
        <v>484</v>
      </c>
      <c r="E94">
        <v>-38.019869999999997</v>
      </c>
      <c r="F94">
        <v>145.0761</v>
      </c>
      <c r="G94" t="s">
        <v>448</v>
      </c>
    </row>
    <row r="95" spans="1:7" x14ac:dyDescent="0.45">
      <c r="A95" s="19">
        <v>7.8009259259259256E-3</v>
      </c>
      <c r="B95">
        <v>1477</v>
      </c>
      <c r="C95" t="s">
        <v>397</v>
      </c>
      <c r="D95" t="s">
        <v>485</v>
      </c>
      <c r="E95">
        <v>-38.020519999999998</v>
      </c>
      <c r="F95">
        <v>145.07686000000001</v>
      </c>
      <c r="G95" t="s">
        <v>448</v>
      </c>
    </row>
    <row r="96" spans="1:7" x14ac:dyDescent="0.45">
      <c r="A96" s="19">
        <v>8.9699074074074073E-3</v>
      </c>
      <c r="B96">
        <v>1478</v>
      </c>
      <c r="C96" t="s">
        <v>397</v>
      </c>
      <c r="D96" t="s">
        <v>486</v>
      </c>
      <c r="E96">
        <v>-38.021180000000001</v>
      </c>
      <c r="F96">
        <v>145.07772</v>
      </c>
      <c r="G96" t="s">
        <v>448</v>
      </c>
    </row>
    <row r="97" spans="1:7" x14ac:dyDescent="0.45">
      <c r="A97" s="19">
        <v>1.0046296296296296E-2</v>
      </c>
      <c r="B97">
        <v>1479</v>
      </c>
      <c r="C97" t="s">
        <v>397</v>
      </c>
      <c r="D97" t="s">
        <v>487</v>
      </c>
      <c r="E97">
        <v>-38.021790000000003</v>
      </c>
      <c r="F97">
        <v>145.07848999999999</v>
      </c>
      <c r="G97" t="s">
        <v>448</v>
      </c>
    </row>
    <row r="98" spans="1:7" x14ac:dyDescent="0.45">
      <c r="A98" s="19">
        <v>1.2002314814814815E-2</v>
      </c>
      <c r="B98">
        <v>1480</v>
      </c>
      <c r="C98" t="s">
        <v>397</v>
      </c>
      <c r="D98" t="s">
        <v>488</v>
      </c>
      <c r="E98">
        <v>-38.023269999999997</v>
      </c>
      <c r="F98">
        <v>145.07616999999999</v>
      </c>
      <c r="G98" t="s">
        <v>448</v>
      </c>
    </row>
    <row r="99" spans="1:7" x14ac:dyDescent="0.45">
      <c r="A99" s="19">
        <v>1.3101851851851852E-2</v>
      </c>
      <c r="B99">
        <v>1481</v>
      </c>
      <c r="C99" t="s">
        <v>397</v>
      </c>
      <c r="D99" t="s">
        <v>489</v>
      </c>
      <c r="E99">
        <v>-38.022620000000003</v>
      </c>
      <c r="F99">
        <v>145.07543000000001</v>
      </c>
      <c r="G99" t="s">
        <v>448</v>
      </c>
    </row>
    <row r="100" spans="1:7" x14ac:dyDescent="0.45">
      <c r="A100" s="19">
        <v>1.4444444444444444E-2</v>
      </c>
      <c r="B100">
        <v>1482</v>
      </c>
      <c r="C100" t="s">
        <v>397</v>
      </c>
      <c r="D100" t="s">
        <v>490</v>
      </c>
      <c r="E100">
        <v>-38.022019999999998</v>
      </c>
      <c r="F100">
        <v>145.07469</v>
      </c>
      <c r="G100" t="s">
        <v>448</v>
      </c>
    </row>
    <row r="101" spans="1:7" x14ac:dyDescent="0.45">
      <c r="A101" s="19">
        <v>1.576388888888889E-2</v>
      </c>
      <c r="B101">
        <v>1483</v>
      </c>
      <c r="C101" t="s">
        <v>397</v>
      </c>
      <c r="D101" t="s">
        <v>491</v>
      </c>
      <c r="E101">
        <v>-38.021360000000001</v>
      </c>
      <c r="F101">
        <v>145.07386</v>
      </c>
      <c r="G101" t="s">
        <v>448</v>
      </c>
    </row>
    <row r="102" spans="1:7" x14ac:dyDescent="0.45">
      <c r="A102" s="19">
        <v>1.6840277777777777E-2</v>
      </c>
      <c r="B102">
        <v>1484</v>
      </c>
      <c r="C102" t="s">
        <v>397</v>
      </c>
      <c r="D102" t="s">
        <v>492</v>
      </c>
      <c r="E102">
        <v>-38.020690000000002</v>
      </c>
      <c r="F102">
        <v>145.07306</v>
      </c>
      <c r="G102" t="s">
        <v>448</v>
      </c>
    </row>
    <row r="103" spans="1:7" x14ac:dyDescent="0.45">
      <c r="A103" s="19">
        <v>1.8136574074074076E-2</v>
      </c>
      <c r="B103">
        <v>1485</v>
      </c>
      <c r="C103" t="s">
        <v>397</v>
      </c>
      <c r="D103" t="s">
        <v>493</v>
      </c>
      <c r="E103">
        <v>-38.01999</v>
      </c>
      <c r="F103">
        <v>145.07227</v>
      </c>
      <c r="G103" t="s">
        <v>448</v>
      </c>
    </row>
    <row r="104" spans="1:7" x14ac:dyDescent="0.45">
      <c r="A104" s="19">
        <v>1.9293981481481481E-2</v>
      </c>
      <c r="B104">
        <v>1486</v>
      </c>
      <c r="C104" t="s">
        <v>397</v>
      </c>
      <c r="D104" t="s">
        <v>494</v>
      </c>
      <c r="E104">
        <v>-38.019370000000002</v>
      </c>
      <c r="F104">
        <v>145.07147000000001</v>
      </c>
      <c r="G104" t="s">
        <v>448</v>
      </c>
    </row>
    <row r="105" spans="1:7" x14ac:dyDescent="0.45">
      <c r="A105" s="19">
        <v>2.0347222222222221E-2</v>
      </c>
      <c r="B105">
        <v>1487</v>
      </c>
      <c r="C105" t="s">
        <v>397</v>
      </c>
      <c r="D105" t="s">
        <v>495</v>
      </c>
      <c r="E105">
        <v>-38.018729999999998</v>
      </c>
      <c r="F105">
        <v>145.07065</v>
      </c>
      <c r="G105" t="s">
        <v>448</v>
      </c>
    </row>
    <row r="106" spans="1:7" x14ac:dyDescent="0.45">
      <c r="A106" s="19">
        <v>2.1354166666666667E-2</v>
      </c>
      <c r="B106">
        <v>1488</v>
      </c>
      <c r="C106" t="s">
        <v>397</v>
      </c>
      <c r="D106" t="s">
        <v>496</v>
      </c>
      <c r="E106">
        <v>-38.018059999999998</v>
      </c>
      <c r="F106">
        <v>145.06986000000001</v>
      </c>
      <c r="G106" t="s">
        <v>448</v>
      </c>
    </row>
    <row r="107" spans="1:7" x14ac:dyDescent="0.45">
      <c r="A107" s="19">
        <v>2.2546296296296297E-2</v>
      </c>
      <c r="B107">
        <v>1489</v>
      </c>
      <c r="C107" t="s">
        <v>397</v>
      </c>
      <c r="D107" t="s">
        <v>497</v>
      </c>
      <c r="E107">
        <v>-38.017470000000003</v>
      </c>
      <c r="F107">
        <v>145.06913</v>
      </c>
      <c r="G107" t="s">
        <v>448</v>
      </c>
    </row>
    <row r="108" spans="1:7" x14ac:dyDescent="0.45">
      <c r="A108" s="19">
        <v>4.6296296296296298E-4</v>
      </c>
      <c r="B108">
        <v>1490</v>
      </c>
      <c r="C108" t="s">
        <v>397</v>
      </c>
      <c r="D108" t="s">
        <v>498</v>
      </c>
      <c r="E108">
        <v>-37.86016</v>
      </c>
      <c r="F108">
        <v>144.95410000000001</v>
      </c>
      <c r="G108" t="s">
        <v>499</v>
      </c>
    </row>
    <row r="109" spans="1:7" x14ac:dyDescent="0.45">
      <c r="A109" s="19">
        <v>2.5925925925925925E-3</v>
      </c>
      <c r="B109">
        <v>1491</v>
      </c>
      <c r="C109" t="s">
        <v>397</v>
      </c>
      <c r="D109" t="s">
        <v>500</v>
      </c>
      <c r="E109">
        <v>-37.861330000000002</v>
      </c>
      <c r="F109">
        <v>144.9545</v>
      </c>
      <c r="G109" t="s">
        <v>499</v>
      </c>
    </row>
    <row r="110" spans="1:7" x14ac:dyDescent="0.45">
      <c r="A110" s="19">
        <v>3.5648148148148149E-3</v>
      </c>
      <c r="B110">
        <v>1492</v>
      </c>
      <c r="C110" t="s">
        <v>397</v>
      </c>
      <c r="D110" t="s">
        <v>501</v>
      </c>
      <c r="E110">
        <v>-37.862000000000002</v>
      </c>
      <c r="F110">
        <v>144.95500999999999</v>
      </c>
      <c r="G110" t="s">
        <v>499</v>
      </c>
    </row>
    <row r="111" spans="1:7" x14ac:dyDescent="0.45">
      <c r="A111" s="19">
        <v>5.0000000000000001E-3</v>
      </c>
      <c r="B111">
        <v>1493</v>
      </c>
      <c r="C111" t="s">
        <v>397</v>
      </c>
      <c r="D111" t="s">
        <v>502</v>
      </c>
      <c r="E111">
        <v>-37.863</v>
      </c>
      <c r="F111">
        <v>144.95535000000001</v>
      </c>
      <c r="G111" t="s">
        <v>499</v>
      </c>
    </row>
    <row r="112" spans="1:7" x14ac:dyDescent="0.45">
      <c r="A112" s="19">
        <v>6.076388888888889E-3</v>
      </c>
      <c r="B112">
        <v>1494</v>
      </c>
      <c r="C112" t="s">
        <v>397</v>
      </c>
      <c r="D112" t="s">
        <v>503</v>
      </c>
      <c r="E112">
        <v>-37.863779999999998</v>
      </c>
      <c r="F112">
        <v>144.95563999999999</v>
      </c>
      <c r="G112" t="s">
        <v>499</v>
      </c>
    </row>
    <row r="113" spans="1:7" x14ac:dyDescent="0.45">
      <c r="A113" s="19">
        <v>7.1064814814814819E-3</v>
      </c>
      <c r="B113">
        <v>1495</v>
      </c>
      <c r="C113" t="s">
        <v>397</v>
      </c>
      <c r="D113" t="s">
        <v>504</v>
      </c>
      <c r="E113">
        <v>-37.864640000000001</v>
      </c>
      <c r="F113">
        <v>144.95606000000001</v>
      </c>
      <c r="G113" t="s">
        <v>499</v>
      </c>
    </row>
    <row r="114" spans="1:7" x14ac:dyDescent="0.45">
      <c r="A114" s="19">
        <v>8.3101851851851843E-3</v>
      </c>
      <c r="B114">
        <v>1496</v>
      </c>
      <c r="C114" t="s">
        <v>397</v>
      </c>
      <c r="D114" t="s">
        <v>505</v>
      </c>
      <c r="E114">
        <v>-37.865479999999998</v>
      </c>
      <c r="F114">
        <v>144.95643000000001</v>
      </c>
      <c r="G114" t="s">
        <v>499</v>
      </c>
    </row>
    <row r="115" spans="1:7" x14ac:dyDescent="0.45">
      <c r="A115" s="19">
        <v>9.3402777777777772E-3</v>
      </c>
      <c r="B115">
        <v>1497</v>
      </c>
      <c r="C115" t="s">
        <v>397</v>
      </c>
      <c r="D115" t="s">
        <v>506</v>
      </c>
      <c r="E115">
        <v>-37.866320000000002</v>
      </c>
      <c r="F115">
        <v>144.95676</v>
      </c>
      <c r="G115" t="s">
        <v>499</v>
      </c>
    </row>
    <row r="116" spans="1:7" x14ac:dyDescent="0.45">
      <c r="A116" s="19">
        <v>1.0497685185185185E-2</v>
      </c>
      <c r="B116">
        <v>1498</v>
      </c>
      <c r="C116" t="s">
        <v>397</v>
      </c>
      <c r="D116" t="s">
        <v>507</v>
      </c>
      <c r="E116">
        <v>-37.867130000000003</v>
      </c>
      <c r="F116">
        <v>144.9572</v>
      </c>
      <c r="G116" t="s">
        <v>499</v>
      </c>
    </row>
    <row r="117" spans="1:7" x14ac:dyDescent="0.45">
      <c r="A117" s="19">
        <v>1.1875E-2</v>
      </c>
      <c r="B117">
        <v>1499</v>
      </c>
      <c r="C117" t="s">
        <v>397</v>
      </c>
      <c r="D117" t="s">
        <v>508</v>
      </c>
      <c r="E117">
        <v>-37.868009999999998</v>
      </c>
      <c r="F117">
        <v>144.95741000000001</v>
      </c>
      <c r="G117" t="s">
        <v>499</v>
      </c>
    </row>
    <row r="118" spans="1:7" x14ac:dyDescent="0.45">
      <c r="A118" s="19">
        <v>1.5601851851851851E-2</v>
      </c>
      <c r="B118">
        <v>1500</v>
      </c>
      <c r="C118" t="s">
        <v>397</v>
      </c>
      <c r="D118" t="s">
        <v>509</v>
      </c>
      <c r="E118">
        <v>-37.868470000000002</v>
      </c>
      <c r="F118">
        <v>144.95455000000001</v>
      </c>
      <c r="G118" t="s">
        <v>499</v>
      </c>
    </row>
    <row r="119" spans="1:7" x14ac:dyDescent="0.45">
      <c r="A119" s="19">
        <v>1.6574074074074074E-2</v>
      </c>
      <c r="B119">
        <v>1501</v>
      </c>
      <c r="C119" t="s">
        <v>397</v>
      </c>
      <c r="D119" t="s">
        <v>510</v>
      </c>
      <c r="E119">
        <v>-37.867609999999999</v>
      </c>
      <c r="F119">
        <v>144.95424</v>
      </c>
      <c r="G119" t="s">
        <v>499</v>
      </c>
    </row>
    <row r="120" spans="1:7" x14ac:dyDescent="0.45">
      <c r="A120" s="19">
        <v>1.758101851851852E-2</v>
      </c>
      <c r="B120">
        <v>1502</v>
      </c>
      <c r="C120" t="s">
        <v>397</v>
      </c>
      <c r="D120" t="s">
        <v>511</v>
      </c>
      <c r="E120">
        <v>-37.866810000000001</v>
      </c>
      <c r="F120">
        <v>144.95381</v>
      </c>
      <c r="G120" t="s">
        <v>499</v>
      </c>
    </row>
    <row r="121" spans="1:7" x14ac:dyDescent="0.45">
      <c r="A121" s="19">
        <v>1.8622685185185187E-2</v>
      </c>
      <c r="B121">
        <v>1503</v>
      </c>
      <c r="C121" t="s">
        <v>397</v>
      </c>
      <c r="D121" t="s">
        <v>512</v>
      </c>
      <c r="E121">
        <v>-37.865940000000002</v>
      </c>
      <c r="F121">
        <v>144.95350999999999</v>
      </c>
      <c r="G121" t="s">
        <v>499</v>
      </c>
    </row>
    <row r="122" spans="1:7" x14ac:dyDescent="0.45">
      <c r="A122" s="19">
        <v>1.9490740740740739E-2</v>
      </c>
      <c r="B122">
        <v>1504</v>
      </c>
      <c r="C122" t="s">
        <v>397</v>
      </c>
      <c r="D122" t="s">
        <v>513</v>
      </c>
      <c r="E122">
        <v>-37.865130000000001</v>
      </c>
      <c r="F122">
        <v>144.95314999999999</v>
      </c>
      <c r="G122" t="s">
        <v>499</v>
      </c>
    </row>
    <row r="123" spans="1:7" x14ac:dyDescent="0.45">
      <c r="A123" s="19">
        <v>2.0497685185185185E-2</v>
      </c>
      <c r="B123">
        <v>1505</v>
      </c>
      <c r="C123" t="s">
        <v>397</v>
      </c>
      <c r="D123" t="s">
        <v>514</v>
      </c>
      <c r="E123">
        <v>-37.864319999999999</v>
      </c>
      <c r="F123">
        <v>144.95275000000001</v>
      </c>
      <c r="G123" t="s">
        <v>499</v>
      </c>
    </row>
    <row r="124" spans="1:7" x14ac:dyDescent="0.45">
      <c r="A124" s="19">
        <v>2.480324074074074E-2</v>
      </c>
      <c r="B124">
        <v>1507</v>
      </c>
      <c r="C124" t="s">
        <v>397</v>
      </c>
      <c r="D124" t="s">
        <v>515</v>
      </c>
      <c r="E124">
        <v>-37.86345</v>
      </c>
      <c r="F124">
        <v>144.95237</v>
      </c>
      <c r="G124" t="s">
        <v>499</v>
      </c>
    </row>
    <row r="125" spans="1:7" x14ac:dyDescent="0.45">
      <c r="A125" s="19">
        <v>2.5925925925925925E-2</v>
      </c>
      <c r="B125">
        <v>1508</v>
      </c>
      <c r="C125" t="s">
        <v>397</v>
      </c>
      <c r="D125" t="s">
        <v>516</v>
      </c>
      <c r="E125">
        <v>-37.8626</v>
      </c>
      <c r="F125">
        <v>144.95197999999999</v>
      </c>
      <c r="G125" t="s">
        <v>499</v>
      </c>
    </row>
    <row r="126" spans="1:7" x14ac:dyDescent="0.45">
      <c r="A126" s="19">
        <v>2.7025462962962963E-2</v>
      </c>
      <c r="B126">
        <v>1509</v>
      </c>
      <c r="C126" t="s">
        <v>397</v>
      </c>
      <c r="D126" t="s">
        <v>517</v>
      </c>
      <c r="E126">
        <v>-37.861690000000003</v>
      </c>
      <c r="F126">
        <v>144.95161999999999</v>
      </c>
      <c r="G126" t="s">
        <v>499</v>
      </c>
    </row>
    <row r="127" spans="1:7" x14ac:dyDescent="0.45">
      <c r="A127" s="19">
        <v>2.7824074074074074E-2</v>
      </c>
      <c r="B127">
        <v>1510</v>
      </c>
      <c r="C127" t="s">
        <v>397</v>
      </c>
      <c r="D127" t="s">
        <v>518</v>
      </c>
      <c r="E127">
        <v>-37.860880000000002</v>
      </c>
      <c r="F127">
        <v>144.95122000000001</v>
      </c>
      <c r="G127" t="s">
        <v>499</v>
      </c>
    </row>
    <row r="128" spans="1:7" x14ac:dyDescent="0.45">
      <c r="A128" s="19">
        <v>2.9976851851851852E-2</v>
      </c>
      <c r="B128">
        <v>1511</v>
      </c>
      <c r="C128" t="s">
        <v>397</v>
      </c>
      <c r="D128" t="s">
        <v>519</v>
      </c>
      <c r="E128">
        <v>-37.861359999999998</v>
      </c>
      <c r="F128">
        <v>144.94844000000001</v>
      </c>
      <c r="G128" t="s">
        <v>499</v>
      </c>
    </row>
    <row r="129" spans="1:7" x14ac:dyDescent="0.45">
      <c r="A129" s="19">
        <v>3.1145833333333334E-2</v>
      </c>
      <c r="B129">
        <v>1512</v>
      </c>
      <c r="C129" t="s">
        <v>397</v>
      </c>
      <c r="D129" t="s">
        <v>520</v>
      </c>
      <c r="E129">
        <v>-37.862229999999997</v>
      </c>
      <c r="F129">
        <v>144.94884999999999</v>
      </c>
      <c r="G129" t="s">
        <v>499</v>
      </c>
    </row>
    <row r="130" spans="1:7" x14ac:dyDescent="0.45">
      <c r="A130" s="19">
        <v>3.2395833333333332E-2</v>
      </c>
      <c r="B130">
        <v>1513</v>
      </c>
      <c r="C130" t="s">
        <v>397</v>
      </c>
      <c r="D130" t="s">
        <v>521</v>
      </c>
      <c r="E130">
        <v>-37.863</v>
      </c>
      <c r="F130">
        <v>144.94909000000001</v>
      </c>
      <c r="G130" t="s">
        <v>499</v>
      </c>
    </row>
    <row r="131" spans="1:7" x14ac:dyDescent="0.45">
      <c r="A131" s="19">
        <v>3.3622685185185186E-2</v>
      </c>
      <c r="B131">
        <v>1514</v>
      </c>
      <c r="C131" t="s">
        <v>397</v>
      </c>
      <c r="D131" t="s">
        <v>522</v>
      </c>
      <c r="E131">
        <v>-37.863849999999999</v>
      </c>
      <c r="F131">
        <v>144.94962000000001</v>
      </c>
      <c r="G131" t="s">
        <v>499</v>
      </c>
    </row>
    <row r="132" spans="1:7" x14ac:dyDescent="0.45">
      <c r="A132" s="19">
        <v>3.4965277777777776E-2</v>
      </c>
      <c r="B132">
        <v>1515</v>
      </c>
      <c r="C132" t="s">
        <v>397</v>
      </c>
      <c r="D132" t="s">
        <v>523</v>
      </c>
      <c r="E132">
        <v>-37.864730000000002</v>
      </c>
      <c r="F132">
        <v>144.94996</v>
      </c>
      <c r="G132" t="s">
        <v>499</v>
      </c>
    </row>
    <row r="133" spans="1:7" x14ac:dyDescent="0.45">
      <c r="A133" s="19">
        <v>3.605324074074074E-2</v>
      </c>
      <c r="B133">
        <v>1516</v>
      </c>
      <c r="C133" t="s">
        <v>397</v>
      </c>
      <c r="D133" t="s">
        <v>524</v>
      </c>
      <c r="E133">
        <v>-37.865609999999997</v>
      </c>
      <c r="F133">
        <v>144.95041000000001</v>
      </c>
      <c r="G133" t="s">
        <v>499</v>
      </c>
    </row>
    <row r="134" spans="1:7" x14ac:dyDescent="0.45">
      <c r="A134" s="19">
        <v>3.7395833333333336E-2</v>
      </c>
      <c r="B134">
        <v>1517</v>
      </c>
      <c r="C134" t="s">
        <v>397</v>
      </c>
      <c r="D134" t="s">
        <v>525</v>
      </c>
      <c r="E134">
        <v>-37.866349999999997</v>
      </c>
      <c r="F134">
        <v>144.95074</v>
      </c>
      <c r="G134" t="s">
        <v>499</v>
      </c>
    </row>
    <row r="135" spans="1:7" x14ac:dyDescent="0.45">
      <c r="A135" s="19">
        <v>3.8587962962962963E-2</v>
      </c>
      <c r="B135">
        <v>1518</v>
      </c>
      <c r="C135" t="s">
        <v>397</v>
      </c>
      <c r="D135" t="s">
        <v>526</v>
      </c>
      <c r="E135">
        <v>-37.867220000000003</v>
      </c>
      <c r="F135">
        <v>144.95107999999999</v>
      </c>
      <c r="G135" t="s">
        <v>499</v>
      </c>
    </row>
    <row r="136" spans="1:7" x14ac:dyDescent="0.45">
      <c r="A136" s="19">
        <v>3.9583333333333331E-2</v>
      </c>
      <c r="B136">
        <v>1519</v>
      </c>
      <c r="C136" t="s">
        <v>397</v>
      </c>
      <c r="D136" t="s">
        <v>527</v>
      </c>
      <c r="E136">
        <v>-37.868070000000003</v>
      </c>
      <c r="F136">
        <v>144.95151000000001</v>
      </c>
      <c r="G136" t="s">
        <v>499</v>
      </c>
    </row>
    <row r="137" spans="1:7" x14ac:dyDescent="0.45">
      <c r="A137" s="19">
        <v>4.103009259259259E-2</v>
      </c>
      <c r="B137">
        <v>1520</v>
      </c>
      <c r="C137" t="s">
        <v>397</v>
      </c>
      <c r="D137" t="s">
        <v>528</v>
      </c>
      <c r="E137">
        <v>-37.868960000000001</v>
      </c>
      <c r="F137">
        <v>144.95195000000001</v>
      </c>
      <c r="G137" t="s">
        <v>499</v>
      </c>
    </row>
    <row r="138" spans="1:7" x14ac:dyDescent="0.45">
      <c r="A138" s="19">
        <v>3.0092592592592593E-3</v>
      </c>
      <c r="B138">
        <v>1521</v>
      </c>
      <c r="C138" t="s">
        <v>397</v>
      </c>
      <c r="D138" t="s">
        <v>529</v>
      </c>
      <c r="E138">
        <v>-37.869509999999998</v>
      </c>
      <c r="F138">
        <v>144.94869</v>
      </c>
      <c r="G138" t="s">
        <v>499</v>
      </c>
    </row>
    <row r="139" spans="1:7" x14ac:dyDescent="0.45">
      <c r="A139" s="19">
        <v>3.9004629629629628E-3</v>
      </c>
      <c r="B139">
        <v>1522</v>
      </c>
      <c r="C139" t="s">
        <v>397</v>
      </c>
      <c r="D139" t="s">
        <v>530</v>
      </c>
      <c r="E139">
        <v>-37.86871</v>
      </c>
      <c r="F139">
        <v>144.94826</v>
      </c>
      <c r="G139" t="s">
        <v>499</v>
      </c>
    </row>
    <row r="140" spans="1:7" x14ac:dyDescent="0.45">
      <c r="A140" s="19">
        <v>4.9652777777777777E-3</v>
      </c>
      <c r="B140">
        <v>1523</v>
      </c>
      <c r="C140" t="s">
        <v>397</v>
      </c>
      <c r="D140" t="s">
        <v>531</v>
      </c>
      <c r="E140">
        <v>-37.867870000000003</v>
      </c>
      <c r="F140">
        <v>144.94784999999999</v>
      </c>
      <c r="G140" t="s">
        <v>499</v>
      </c>
    </row>
    <row r="141" spans="1:7" x14ac:dyDescent="0.45">
      <c r="A141" s="19">
        <v>5.8217592592592592E-3</v>
      </c>
      <c r="B141">
        <v>1524</v>
      </c>
      <c r="C141" t="s">
        <v>397</v>
      </c>
      <c r="D141" t="s">
        <v>532</v>
      </c>
      <c r="E141">
        <v>-37.867109999999997</v>
      </c>
      <c r="F141">
        <v>144.94738000000001</v>
      </c>
      <c r="G141" t="s">
        <v>499</v>
      </c>
    </row>
    <row r="142" spans="1:7" x14ac:dyDescent="0.45">
      <c r="A142" s="19">
        <v>6.875E-3</v>
      </c>
      <c r="B142">
        <v>1525</v>
      </c>
      <c r="C142" t="s">
        <v>397</v>
      </c>
      <c r="D142" t="s">
        <v>533</v>
      </c>
      <c r="E142">
        <v>-37.866190000000003</v>
      </c>
      <c r="F142">
        <v>144.94692000000001</v>
      </c>
      <c r="G142" t="s">
        <v>499</v>
      </c>
    </row>
    <row r="143" spans="1:7" x14ac:dyDescent="0.45">
      <c r="A143" s="19">
        <v>8.0208333333333329E-3</v>
      </c>
      <c r="B143">
        <v>1526</v>
      </c>
      <c r="C143" t="s">
        <v>397</v>
      </c>
      <c r="D143" t="s">
        <v>534</v>
      </c>
      <c r="E143">
        <v>-37.865400000000001</v>
      </c>
      <c r="F143">
        <v>144.94645</v>
      </c>
      <c r="G143" t="s">
        <v>499</v>
      </c>
    </row>
    <row r="144" spans="1:7" x14ac:dyDescent="0.45">
      <c r="A144" s="19">
        <v>8.8310185185185193E-3</v>
      </c>
      <c r="B144">
        <v>1527</v>
      </c>
      <c r="C144" t="s">
        <v>397</v>
      </c>
      <c r="D144" t="s">
        <v>535</v>
      </c>
      <c r="E144">
        <v>-37.864570000000001</v>
      </c>
      <c r="F144">
        <v>144.946</v>
      </c>
      <c r="G144" t="s">
        <v>499</v>
      </c>
    </row>
    <row r="145" spans="1:7" x14ac:dyDescent="0.45">
      <c r="A145" s="19">
        <v>0.01</v>
      </c>
      <c r="B145">
        <v>1528</v>
      </c>
      <c r="C145" t="s">
        <v>397</v>
      </c>
      <c r="D145" t="s">
        <v>536</v>
      </c>
      <c r="E145">
        <v>-37.863770000000002</v>
      </c>
      <c r="F145">
        <v>144.94549000000001</v>
      </c>
      <c r="G145" t="s">
        <v>499</v>
      </c>
    </row>
    <row r="146" spans="1:7" x14ac:dyDescent="0.45">
      <c r="A146" s="19">
        <v>1.1111111111111112E-2</v>
      </c>
      <c r="B146">
        <v>1529</v>
      </c>
      <c r="C146" t="s">
        <v>397</v>
      </c>
      <c r="D146" t="s">
        <v>537</v>
      </c>
      <c r="E146">
        <v>-37.862929999999999</v>
      </c>
      <c r="F146">
        <v>144.94502</v>
      </c>
      <c r="G146" t="s">
        <v>499</v>
      </c>
    </row>
    <row r="147" spans="1:7" x14ac:dyDescent="0.45">
      <c r="A147" s="19">
        <v>1.2118055555555556E-2</v>
      </c>
      <c r="B147">
        <v>1530</v>
      </c>
      <c r="C147" t="s">
        <v>397</v>
      </c>
      <c r="D147" t="s">
        <v>538</v>
      </c>
      <c r="E147">
        <v>-37.862110000000001</v>
      </c>
      <c r="F147">
        <v>144.94461000000001</v>
      </c>
      <c r="G147" t="s">
        <v>499</v>
      </c>
    </row>
    <row r="148" spans="1:7" x14ac:dyDescent="0.45">
      <c r="A148" s="19">
        <v>1.6493055555555556E-2</v>
      </c>
      <c r="B148">
        <v>1531</v>
      </c>
      <c r="C148" t="s">
        <v>397</v>
      </c>
      <c r="D148" t="s">
        <v>539</v>
      </c>
      <c r="E148">
        <v>-37.862769999999998</v>
      </c>
      <c r="F148">
        <v>144.94177999999999</v>
      </c>
      <c r="G148" t="s">
        <v>499</v>
      </c>
    </row>
    <row r="149" spans="1:7" x14ac:dyDescent="0.45">
      <c r="A149" s="19">
        <v>1.7766203703703704E-2</v>
      </c>
      <c r="B149">
        <v>1532</v>
      </c>
      <c r="C149" t="s">
        <v>397</v>
      </c>
      <c r="D149" t="s">
        <v>540</v>
      </c>
      <c r="E149">
        <v>-37.863720000000001</v>
      </c>
      <c r="F149">
        <v>144.94228000000001</v>
      </c>
      <c r="G149" t="s">
        <v>499</v>
      </c>
    </row>
    <row r="150" spans="1:7" x14ac:dyDescent="0.45">
      <c r="A150" s="19">
        <v>1.9004629629629628E-2</v>
      </c>
      <c r="B150">
        <v>1533</v>
      </c>
      <c r="C150" t="s">
        <v>397</v>
      </c>
      <c r="D150" t="s">
        <v>541</v>
      </c>
      <c r="E150">
        <v>-37.864490000000004</v>
      </c>
      <c r="F150">
        <v>144.94264999999999</v>
      </c>
      <c r="G150" t="s">
        <v>499</v>
      </c>
    </row>
    <row r="151" spans="1:7" x14ac:dyDescent="0.45">
      <c r="A151" s="19">
        <v>2.0312500000000001E-2</v>
      </c>
      <c r="B151">
        <v>1534</v>
      </c>
      <c r="C151" t="s">
        <v>397</v>
      </c>
      <c r="D151" t="s">
        <v>542</v>
      </c>
      <c r="E151">
        <v>-37.865319999999997</v>
      </c>
      <c r="F151">
        <v>144.94308000000001</v>
      </c>
      <c r="G151" t="s">
        <v>499</v>
      </c>
    </row>
    <row r="152" spans="1:7" x14ac:dyDescent="0.45">
      <c r="A152" s="19">
        <v>2.1840277777777778E-2</v>
      </c>
      <c r="B152">
        <v>1535</v>
      </c>
      <c r="C152" t="s">
        <v>397</v>
      </c>
      <c r="D152" t="s">
        <v>543</v>
      </c>
      <c r="E152">
        <v>-37.866169999999997</v>
      </c>
      <c r="F152">
        <v>144.94361000000001</v>
      </c>
      <c r="G152" t="s">
        <v>499</v>
      </c>
    </row>
    <row r="153" spans="1:7" x14ac:dyDescent="0.45">
      <c r="A153" s="19">
        <v>2.3784722222222221E-2</v>
      </c>
      <c r="B153">
        <v>1536</v>
      </c>
      <c r="C153" t="s">
        <v>397</v>
      </c>
      <c r="D153" t="s">
        <v>544</v>
      </c>
      <c r="E153">
        <v>-37.867060000000002</v>
      </c>
      <c r="F153">
        <v>144.94395</v>
      </c>
      <c r="G153" t="s">
        <v>499</v>
      </c>
    </row>
    <row r="154" spans="1:7" x14ac:dyDescent="0.45">
      <c r="A154" s="19">
        <v>2.5439814814814814E-2</v>
      </c>
      <c r="B154">
        <v>1537</v>
      </c>
      <c r="C154" t="s">
        <v>397</v>
      </c>
      <c r="D154" t="s">
        <v>407</v>
      </c>
      <c r="E154">
        <v>-37.867890000000003</v>
      </c>
      <c r="F154">
        <v>144.94436999999999</v>
      </c>
      <c r="G154" t="s">
        <v>499</v>
      </c>
    </row>
    <row r="155" spans="1:7" x14ac:dyDescent="0.45">
      <c r="A155" s="19">
        <v>2.6550925925925926E-2</v>
      </c>
      <c r="B155">
        <v>1538</v>
      </c>
      <c r="C155" t="s">
        <v>397</v>
      </c>
      <c r="D155" t="s">
        <v>545</v>
      </c>
      <c r="E155">
        <v>-37.868679999999998</v>
      </c>
      <c r="F155">
        <v>144.94481999999999</v>
      </c>
      <c r="G155" t="s">
        <v>499</v>
      </c>
    </row>
    <row r="156" spans="1:7" x14ac:dyDescent="0.45">
      <c r="A156" s="19">
        <v>2.7719907407407408E-2</v>
      </c>
      <c r="B156">
        <v>1539</v>
      </c>
      <c r="C156" t="s">
        <v>397</v>
      </c>
      <c r="D156" t="s">
        <v>546</v>
      </c>
      <c r="E156">
        <v>-37.869540000000001</v>
      </c>
      <c r="F156">
        <v>144.94524000000001</v>
      </c>
      <c r="G156" t="s">
        <v>499</v>
      </c>
    </row>
    <row r="157" spans="1:7" x14ac:dyDescent="0.45">
      <c r="A157" s="19">
        <v>2.8773148148148148E-2</v>
      </c>
      <c r="B157">
        <v>1540</v>
      </c>
      <c r="C157" t="s">
        <v>397</v>
      </c>
      <c r="D157" t="s">
        <v>547</v>
      </c>
      <c r="E157">
        <v>-37.870399999999997</v>
      </c>
      <c r="F157">
        <v>144.94568000000001</v>
      </c>
      <c r="G157" t="s">
        <v>499</v>
      </c>
    </row>
    <row r="158" spans="1:7" x14ac:dyDescent="0.45">
      <c r="G158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329B-0665-4A76-A908-736CA34D6E16}">
  <dimension ref="A1:O166"/>
  <sheetViews>
    <sheetView workbookViewId="0">
      <pane ySplit="1" topLeftCell="A2" activePane="bottomLeft" state="frozen"/>
      <selection activeCell="E1" sqref="E1"/>
      <selection pane="bottomLeft" activeCell="C2" sqref="C2"/>
    </sheetView>
  </sheetViews>
  <sheetFormatPr defaultRowHeight="14.25" x14ac:dyDescent="0.45"/>
  <cols>
    <col min="2" max="2" width="16.86328125" customWidth="1"/>
    <col min="3" max="3" width="27.06640625" customWidth="1"/>
    <col min="4" max="4" width="11.86328125" customWidth="1"/>
    <col min="5" max="5" width="38.46484375" customWidth="1"/>
    <col min="6" max="6" width="11.6640625" customWidth="1"/>
    <col min="7" max="7" width="12.59765625" customWidth="1"/>
    <col min="8" max="8" width="15.265625" customWidth="1"/>
    <col min="9" max="9" width="15.86328125" customWidth="1"/>
    <col min="11" max="11" width="12.46484375" customWidth="1"/>
    <col min="14" max="14" width="12.265625" customWidth="1"/>
    <col min="15" max="15" width="9.9296875" bestFit="1" customWidth="1"/>
    <col min="23" max="23" width="9.9296875" bestFit="1" customWidth="1"/>
  </cols>
  <sheetData>
    <row r="1" spans="1:15" x14ac:dyDescent="0.45">
      <c r="A1" t="s">
        <v>756</v>
      </c>
      <c r="B1" t="s">
        <v>755</v>
      </c>
      <c r="C1" t="s">
        <v>1269</v>
      </c>
      <c r="D1" t="s">
        <v>757</v>
      </c>
      <c r="E1" t="s">
        <v>758</v>
      </c>
      <c r="F1" t="s">
        <v>765</v>
      </c>
      <c r="G1" t="s">
        <v>766</v>
      </c>
      <c r="H1" t="s">
        <v>767</v>
      </c>
      <c r="I1" t="s">
        <v>759</v>
      </c>
      <c r="J1" t="s">
        <v>760</v>
      </c>
      <c r="K1" t="s">
        <v>395</v>
      </c>
      <c r="L1" t="s">
        <v>761</v>
      </c>
      <c r="M1" t="s">
        <v>762</v>
      </c>
      <c r="N1" t="s">
        <v>763</v>
      </c>
      <c r="O1" t="s">
        <v>764</v>
      </c>
    </row>
    <row r="2" spans="1:15" x14ac:dyDescent="0.45">
      <c r="A2" t="s">
        <v>297</v>
      </c>
      <c r="B2" t="s">
        <v>327</v>
      </c>
      <c r="C2">
        <v>0</v>
      </c>
      <c r="D2" t="s">
        <v>330</v>
      </c>
      <c r="E2" t="s">
        <v>331</v>
      </c>
      <c r="F2">
        <v>0</v>
      </c>
      <c r="G2">
        <v>1</v>
      </c>
      <c r="H2">
        <v>1</v>
      </c>
      <c r="I2">
        <v>18.8</v>
      </c>
      <c r="J2">
        <v>4.8600000000000003</v>
      </c>
      <c r="K2">
        <v>-38.35239</v>
      </c>
      <c r="L2">
        <v>145.08528999999999</v>
      </c>
      <c r="M2" t="s">
        <v>326</v>
      </c>
      <c r="N2" s="2">
        <v>45622</v>
      </c>
      <c r="O2" t="s">
        <v>769</v>
      </c>
    </row>
    <row r="3" spans="1:15" x14ac:dyDescent="0.45">
      <c r="A3" t="s">
        <v>303</v>
      </c>
      <c r="B3" t="s">
        <v>335</v>
      </c>
      <c r="C3">
        <v>0</v>
      </c>
      <c r="D3" t="s">
        <v>336</v>
      </c>
      <c r="E3" t="s">
        <v>337</v>
      </c>
      <c r="F3">
        <v>0</v>
      </c>
      <c r="G3">
        <v>0</v>
      </c>
      <c r="H3">
        <v>1</v>
      </c>
      <c r="I3">
        <v>18.8</v>
      </c>
      <c r="J3">
        <v>6.62</v>
      </c>
      <c r="K3">
        <v>-38.35239</v>
      </c>
      <c r="L3">
        <v>145.08528999999999</v>
      </c>
      <c r="M3" t="s">
        <v>326</v>
      </c>
      <c r="N3" s="2">
        <v>45622</v>
      </c>
    </row>
    <row r="4" spans="1:15" x14ac:dyDescent="0.45">
      <c r="A4" t="s">
        <v>259</v>
      </c>
      <c r="B4" t="s">
        <v>327</v>
      </c>
      <c r="C4">
        <v>0</v>
      </c>
      <c r="D4" t="s">
        <v>332</v>
      </c>
      <c r="E4" t="s">
        <v>340</v>
      </c>
      <c r="F4">
        <v>0</v>
      </c>
      <c r="G4">
        <v>0</v>
      </c>
      <c r="H4">
        <v>0</v>
      </c>
      <c r="I4">
        <v>18.8</v>
      </c>
      <c r="J4">
        <v>6.69</v>
      </c>
      <c r="K4">
        <v>-38.01614</v>
      </c>
      <c r="L4">
        <v>145.08356000000001</v>
      </c>
      <c r="M4" t="s">
        <v>326</v>
      </c>
      <c r="N4" s="2">
        <v>45622</v>
      </c>
    </row>
    <row r="5" spans="1:15" x14ac:dyDescent="0.45">
      <c r="A5" t="s">
        <v>248</v>
      </c>
      <c r="B5" t="s">
        <v>327</v>
      </c>
      <c r="C5">
        <v>0</v>
      </c>
      <c r="D5" t="s">
        <v>332</v>
      </c>
      <c r="E5" t="s">
        <v>342</v>
      </c>
      <c r="F5">
        <v>0</v>
      </c>
      <c r="G5">
        <v>0</v>
      </c>
      <c r="H5">
        <v>1</v>
      </c>
      <c r="I5">
        <v>18.8</v>
      </c>
      <c r="J5">
        <v>6.45</v>
      </c>
      <c r="K5">
        <v>-38.01614</v>
      </c>
      <c r="L5">
        <v>145.08356000000001</v>
      </c>
      <c r="M5" t="s">
        <v>326</v>
      </c>
      <c r="N5" s="2">
        <v>45622</v>
      </c>
    </row>
    <row r="6" spans="1:15" x14ac:dyDescent="0.45">
      <c r="A6" t="s">
        <v>300</v>
      </c>
      <c r="B6" t="s">
        <v>327</v>
      </c>
      <c r="C6">
        <v>0</v>
      </c>
      <c r="D6" t="s">
        <v>332</v>
      </c>
      <c r="E6" t="s">
        <v>340</v>
      </c>
      <c r="F6">
        <v>0</v>
      </c>
      <c r="G6">
        <v>0</v>
      </c>
      <c r="H6">
        <v>0</v>
      </c>
      <c r="I6">
        <v>18.7</v>
      </c>
      <c r="J6">
        <v>6.29</v>
      </c>
      <c r="K6">
        <v>-38.01614</v>
      </c>
      <c r="L6">
        <v>145.08197999999999</v>
      </c>
      <c r="M6" t="s">
        <v>326</v>
      </c>
      <c r="N6" s="2">
        <v>45622</v>
      </c>
    </row>
    <row r="7" spans="1:15" x14ac:dyDescent="0.45">
      <c r="A7" t="s">
        <v>190</v>
      </c>
      <c r="B7" t="s">
        <v>327</v>
      </c>
      <c r="C7">
        <v>0</v>
      </c>
      <c r="D7" t="s">
        <v>332</v>
      </c>
      <c r="E7" t="s">
        <v>344</v>
      </c>
      <c r="F7">
        <v>0</v>
      </c>
      <c r="G7">
        <v>0</v>
      </c>
      <c r="H7">
        <v>0</v>
      </c>
      <c r="I7">
        <v>18.7</v>
      </c>
      <c r="J7">
        <v>6.5</v>
      </c>
      <c r="K7">
        <v>-38.014240000000001</v>
      </c>
      <c r="L7">
        <v>145.08116000000001</v>
      </c>
      <c r="M7" t="s">
        <v>326</v>
      </c>
      <c r="N7" s="2">
        <v>45622</v>
      </c>
    </row>
    <row r="8" spans="1:15" x14ac:dyDescent="0.45">
      <c r="A8" t="s">
        <v>252</v>
      </c>
      <c r="B8" t="s">
        <v>327</v>
      </c>
      <c r="C8">
        <v>0</v>
      </c>
      <c r="D8" t="s">
        <v>332</v>
      </c>
      <c r="E8" t="s">
        <v>344</v>
      </c>
      <c r="F8">
        <v>0</v>
      </c>
      <c r="G8">
        <v>0</v>
      </c>
      <c r="H8">
        <v>0</v>
      </c>
      <c r="I8">
        <v>18.8</v>
      </c>
      <c r="J8">
        <v>6.31</v>
      </c>
      <c r="K8">
        <v>-38.013629999999999</v>
      </c>
      <c r="L8">
        <v>145.08038999999999</v>
      </c>
      <c r="M8" t="s">
        <v>326</v>
      </c>
      <c r="N8" s="2">
        <v>45622</v>
      </c>
    </row>
    <row r="9" spans="1:15" x14ac:dyDescent="0.45">
      <c r="A9" t="s">
        <v>207</v>
      </c>
      <c r="B9" t="s">
        <v>327</v>
      </c>
      <c r="C9">
        <v>0</v>
      </c>
      <c r="D9" t="s">
        <v>332</v>
      </c>
      <c r="E9" t="s">
        <v>340</v>
      </c>
      <c r="F9">
        <v>0</v>
      </c>
      <c r="G9">
        <v>0</v>
      </c>
      <c r="H9">
        <v>0</v>
      </c>
      <c r="I9">
        <v>18.8</v>
      </c>
      <c r="J9">
        <v>6.29</v>
      </c>
      <c r="K9">
        <v>-38.012929999999997</v>
      </c>
      <c r="L9">
        <v>145.07953000000001</v>
      </c>
      <c r="M9" t="s">
        <v>326</v>
      </c>
      <c r="N9" s="2">
        <v>45622</v>
      </c>
    </row>
    <row r="10" spans="1:15" x14ac:dyDescent="0.45">
      <c r="A10" t="s">
        <v>175</v>
      </c>
      <c r="B10" t="s">
        <v>327</v>
      </c>
      <c r="C10">
        <v>0</v>
      </c>
      <c r="D10" t="s">
        <v>332</v>
      </c>
      <c r="E10" t="s">
        <v>340</v>
      </c>
      <c r="F10">
        <v>0</v>
      </c>
      <c r="G10">
        <v>0</v>
      </c>
      <c r="H10">
        <v>0</v>
      </c>
      <c r="I10">
        <v>18.7</v>
      </c>
      <c r="J10">
        <v>6.86</v>
      </c>
      <c r="K10">
        <v>-38.012270000000001</v>
      </c>
      <c r="L10">
        <v>145.07873000000001</v>
      </c>
      <c r="M10" t="s">
        <v>326</v>
      </c>
      <c r="N10" s="2">
        <v>45622</v>
      </c>
    </row>
    <row r="11" spans="1:15" x14ac:dyDescent="0.45">
      <c r="A11" t="s">
        <v>275</v>
      </c>
      <c r="B11" t="s">
        <v>327</v>
      </c>
      <c r="C11">
        <v>0</v>
      </c>
      <c r="D11" t="s">
        <v>332</v>
      </c>
      <c r="E11" t="s">
        <v>347</v>
      </c>
      <c r="F11">
        <v>0</v>
      </c>
      <c r="G11">
        <v>0</v>
      </c>
      <c r="H11">
        <v>1</v>
      </c>
      <c r="I11">
        <v>18.600000000000001</v>
      </c>
      <c r="J11">
        <v>7.95</v>
      </c>
      <c r="K11">
        <v>-38.011659999999999</v>
      </c>
      <c r="L11">
        <v>145.07794999999999</v>
      </c>
      <c r="M11" t="s">
        <v>326</v>
      </c>
      <c r="N11" s="2">
        <v>45622</v>
      </c>
    </row>
    <row r="12" spans="1:15" x14ac:dyDescent="0.45">
      <c r="A12" t="s">
        <v>212</v>
      </c>
      <c r="B12" t="s">
        <v>327</v>
      </c>
      <c r="C12">
        <v>0</v>
      </c>
      <c r="D12" t="s">
        <v>332</v>
      </c>
      <c r="E12" t="s">
        <v>348</v>
      </c>
      <c r="F12">
        <v>0</v>
      </c>
      <c r="G12">
        <v>0</v>
      </c>
      <c r="H12">
        <v>1</v>
      </c>
      <c r="I12">
        <v>18.5</v>
      </c>
      <c r="J12">
        <v>7.9</v>
      </c>
      <c r="K12">
        <v>-38.013210000000001</v>
      </c>
      <c r="L12">
        <v>145.07570000000001</v>
      </c>
      <c r="M12" t="s">
        <v>326</v>
      </c>
      <c r="N12" s="2">
        <v>45622</v>
      </c>
    </row>
    <row r="13" spans="1:15" x14ac:dyDescent="0.45">
      <c r="A13" t="s">
        <v>289</v>
      </c>
      <c r="B13" t="s">
        <v>327</v>
      </c>
      <c r="C13">
        <v>0</v>
      </c>
      <c r="D13" t="s">
        <v>350</v>
      </c>
      <c r="E13" t="s">
        <v>351</v>
      </c>
      <c r="F13">
        <v>0</v>
      </c>
      <c r="G13">
        <v>0</v>
      </c>
      <c r="H13">
        <v>0</v>
      </c>
      <c r="I13">
        <v>18.5</v>
      </c>
      <c r="J13">
        <v>7.71</v>
      </c>
      <c r="K13">
        <v>-38.013770000000001</v>
      </c>
      <c r="L13">
        <v>145.07642000000001</v>
      </c>
      <c r="M13" t="s">
        <v>326</v>
      </c>
      <c r="N13" s="2">
        <v>45622</v>
      </c>
    </row>
    <row r="14" spans="1:15" x14ac:dyDescent="0.45">
      <c r="A14" s="15" t="s">
        <v>203</v>
      </c>
      <c r="B14" t="s">
        <v>327</v>
      </c>
      <c r="C14">
        <v>0</v>
      </c>
      <c r="D14" t="s">
        <v>350</v>
      </c>
      <c r="E14" t="s">
        <v>351</v>
      </c>
      <c r="F14">
        <v>0</v>
      </c>
      <c r="G14">
        <v>0</v>
      </c>
      <c r="H14">
        <v>0</v>
      </c>
      <c r="I14">
        <v>18.5</v>
      </c>
      <c r="J14">
        <v>7.69</v>
      </c>
      <c r="K14">
        <v>-38.014420000000001</v>
      </c>
      <c r="L14">
        <v>145.07727</v>
      </c>
      <c r="M14" t="s">
        <v>326</v>
      </c>
      <c r="N14" s="2">
        <v>45622</v>
      </c>
    </row>
    <row r="15" spans="1:15" x14ac:dyDescent="0.45">
      <c r="A15" t="s">
        <v>234</v>
      </c>
      <c r="B15" t="s">
        <v>327</v>
      </c>
      <c r="C15">
        <v>0</v>
      </c>
      <c r="D15" t="s">
        <v>350</v>
      </c>
      <c r="E15" t="s">
        <v>351</v>
      </c>
      <c r="F15">
        <v>0</v>
      </c>
      <c r="G15">
        <v>0</v>
      </c>
      <c r="H15">
        <v>0</v>
      </c>
      <c r="I15">
        <v>18.5</v>
      </c>
      <c r="J15">
        <v>7.85</v>
      </c>
      <c r="K15">
        <v>-38.015059999999998</v>
      </c>
      <c r="L15">
        <v>145.07804999999999</v>
      </c>
      <c r="M15" t="s">
        <v>326</v>
      </c>
      <c r="N15" s="2">
        <v>45622</v>
      </c>
    </row>
    <row r="16" spans="1:15" x14ac:dyDescent="0.45">
      <c r="A16" t="s">
        <v>270</v>
      </c>
      <c r="B16" t="s">
        <v>327</v>
      </c>
      <c r="C16">
        <v>0</v>
      </c>
      <c r="D16" t="s">
        <v>350</v>
      </c>
      <c r="E16" t="s">
        <v>351</v>
      </c>
      <c r="F16">
        <v>0</v>
      </c>
      <c r="G16">
        <v>0</v>
      </c>
      <c r="H16">
        <v>0</v>
      </c>
      <c r="I16">
        <v>18.5</v>
      </c>
      <c r="J16">
        <v>7.71</v>
      </c>
      <c r="K16">
        <v>-38.015680000000003</v>
      </c>
      <c r="L16">
        <v>145.07884999999999</v>
      </c>
      <c r="M16" t="s">
        <v>326</v>
      </c>
      <c r="N16" s="2">
        <v>45622</v>
      </c>
    </row>
    <row r="17" spans="1:14" x14ac:dyDescent="0.45">
      <c r="A17" t="s">
        <v>273</v>
      </c>
      <c r="B17" t="s">
        <v>327</v>
      </c>
      <c r="C17">
        <v>0</v>
      </c>
      <c r="D17" t="s">
        <v>350</v>
      </c>
      <c r="E17" t="s">
        <v>355</v>
      </c>
      <c r="F17">
        <v>0</v>
      </c>
      <c r="G17">
        <v>1</v>
      </c>
      <c r="H17">
        <v>0</v>
      </c>
      <c r="I17">
        <v>18.600000000000001</v>
      </c>
      <c r="J17">
        <v>7.66</v>
      </c>
      <c r="K17">
        <v>-38.016309999999997</v>
      </c>
      <c r="L17">
        <v>145.07964999999999</v>
      </c>
      <c r="M17" t="s">
        <v>326</v>
      </c>
      <c r="N17" s="2">
        <v>45622</v>
      </c>
    </row>
    <row r="18" spans="1:14" x14ac:dyDescent="0.45">
      <c r="A18" t="s">
        <v>287</v>
      </c>
      <c r="B18" t="s">
        <v>327</v>
      </c>
      <c r="C18">
        <v>0</v>
      </c>
      <c r="D18" t="s">
        <v>350</v>
      </c>
      <c r="E18" t="s">
        <v>355</v>
      </c>
      <c r="F18">
        <v>0</v>
      </c>
      <c r="G18">
        <v>1</v>
      </c>
      <c r="H18">
        <v>0</v>
      </c>
      <c r="I18">
        <v>18.600000000000001</v>
      </c>
      <c r="J18">
        <v>7.95</v>
      </c>
      <c r="K18">
        <v>-38.016959999999997</v>
      </c>
      <c r="L18">
        <v>145.08056999999999</v>
      </c>
      <c r="M18" t="s">
        <v>326</v>
      </c>
      <c r="N18" s="2">
        <v>45622</v>
      </c>
    </row>
    <row r="19" spans="1:14" x14ac:dyDescent="0.45">
      <c r="A19" t="s">
        <v>307</v>
      </c>
      <c r="B19" t="s">
        <v>327</v>
      </c>
      <c r="C19">
        <v>0</v>
      </c>
      <c r="D19" t="s">
        <v>350</v>
      </c>
      <c r="E19" t="s">
        <v>355</v>
      </c>
      <c r="F19">
        <v>0</v>
      </c>
      <c r="G19">
        <v>1</v>
      </c>
      <c r="H19">
        <v>0</v>
      </c>
      <c r="I19">
        <v>18.600000000000001</v>
      </c>
      <c r="J19">
        <v>7.35</v>
      </c>
      <c r="K19">
        <v>-38.017569999999999</v>
      </c>
      <c r="L19">
        <v>145.08125000000001</v>
      </c>
      <c r="M19" t="s">
        <v>326</v>
      </c>
      <c r="N19" s="2">
        <v>45622</v>
      </c>
    </row>
    <row r="20" spans="1:14" x14ac:dyDescent="0.45">
      <c r="A20" t="s">
        <v>166</v>
      </c>
      <c r="B20" t="s">
        <v>327</v>
      </c>
      <c r="C20">
        <v>0</v>
      </c>
      <c r="D20" t="s">
        <v>350</v>
      </c>
      <c r="E20" t="s">
        <v>355</v>
      </c>
      <c r="F20">
        <v>0</v>
      </c>
      <c r="G20">
        <v>1</v>
      </c>
      <c r="H20">
        <v>0</v>
      </c>
      <c r="I20">
        <v>18.600000000000001</v>
      </c>
      <c r="J20">
        <v>7.33</v>
      </c>
      <c r="K20">
        <v>-38.018239999999999</v>
      </c>
      <c r="L20">
        <v>145.08217999999999</v>
      </c>
      <c r="M20" t="s">
        <v>326</v>
      </c>
      <c r="N20" s="2">
        <v>45622</v>
      </c>
    </row>
    <row r="21" spans="1:14" x14ac:dyDescent="0.45">
      <c r="A21" t="s">
        <v>292</v>
      </c>
      <c r="B21" t="s">
        <v>327</v>
      </c>
      <c r="C21">
        <v>0</v>
      </c>
      <c r="D21" t="s">
        <v>350</v>
      </c>
      <c r="E21" t="s">
        <v>355</v>
      </c>
      <c r="F21">
        <v>0</v>
      </c>
      <c r="G21">
        <v>1</v>
      </c>
      <c r="H21">
        <v>0</v>
      </c>
      <c r="I21">
        <v>18.600000000000001</v>
      </c>
      <c r="J21">
        <v>8.23</v>
      </c>
      <c r="K21">
        <v>-38.018819999999998</v>
      </c>
      <c r="L21">
        <v>145.08295000000001</v>
      </c>
      <c r="M21" t="s">
        <v>326</v>
      </c>
      <c r="N21" s="2">
        <v>45622</v>
      </c>
    </row>
    <row r="22" spans="1:14" x14ac:dyDescent="0.45">
      <c r="A22" t="s">
        <v>256</v>
      </c>
      <c r="B22" t="s">
        <v>327</v>
      </c>
      <c r="C22">
        <v>0</v>
      </c>
      <c r="D22" t="s">
        <v>350</v>
      </c>
      <c r="E22" t="s">
        <v>351</v>
      </c>
      <c r="F22">
        <v>0</v>
      </c>
      <c r="G22">
        <v>0</v>
      </c>
      <c r="H22">
        <v>0</v>
      </c>
      <c r="I22">
        <v>18.399999999999999</v>
      </c>
      <c r="J22">
        <v>9.89</v>
      </c>
      <c r="K22">
        <v>-38.020359999999997</v>
      </c>
      <c r="L22">
        <v>145.08088000000001</v>
      </c>
      <c r="M22" t="s">
        <v>326</v>
      </c>
      <c r="N22" s="2">
        <v>45622</v>
      </c>
    </row>
    <row r="23" spans="1:14" x14ac:dyDescent="0.45">
      <c r="A23" s="15" t="s">
        <v>230</v>
      </c>
      <c r="B23" t="s">
        <v>327</v>
      </c>
      <c r="C23">
        <v>0</v>
      </c>
      <c r="D23" t="s">
        <v>350</v>
      </c>
      <c r="E23" t="s">
        <v>351</v>
      </c>
      <c r="F23">
        <v>0</v>
      </c>
      <c r="G23">
        <v>0</v>
      </c>
      <c r="H23">
        <v>0</v>
      </c>
      <c r="I23">
        <v>18.399999999999999</v>
      </c>
      <c r="J23">
        <v>8.4</v>
      </c>
      <c r="K23">
        <v>-38.019799999999996</v>
      </c>
      <c r="L23">
        <v>145.08006</v>
      </c>
      <c r="M23" t="s">
        <v>326</v>
      </c>
      <c r="N23" s="2">
        <v>45622</v>
      </c>
    </row>
    <row r="24" spans="1:14" x14ac:dyDescent="0.45">
      <c r="A24" t="s">
        <v>233</v>
      </c>
      <c r="B24" t="s">
        <v>327</v>
      </c>
      <c r="C24">
        <v>0</v>
      </c>
      <c r="D24" t="s">
        <v>350</v>
      </c>
      <c r="E24" t="s">
        <v>351</v>
      </c>
      <c r="F24">
        <v>0</v>
      </c>
      <c r="G24">
        <v>0</v>
      </c>
      <c r="H24">
        <v>0</v>
      </c>
      <c r="I24">
        <v>18.399999999999999</v>
      </c>
      <c r="J24">
        <v>8.2799999999999994</v>
      </c>
      <c r="K24">
        <v>-38.019039999999997</v>
      </c>
      <c r="L24">
        <v>145.07924</v>
      </c>
      <c r="M24" t="s">
        <v>326</v>
      </c>
      <c r="N24" s="2">
        <v>45622</v>
      </c>
    </row>
    <row r="25" spans="1:14" x14ac:dyDescent="0.45">
      <c r="A25" t="s">
        <v>313</v>
      </c>
      <c r="B25" t="s">
        <v>327</v>
      </c>
      <c r="C25">
        <v>0</v>
      </c>
      <c r="D25" t="s">
        <v>350</v>
      </c>
      <c r="E25" t="s">
        <v>351</v>
      </c>
      <c r="F25">
        <v>0</v>
      </c>
      <c r="G25">
        <v>0</v>
      </c>
      <c r="H25">
        <v>0</v>
      </c>
      <c r="I25">
        <v>18.3</v>
      </c>
      <c r="J25">
        <v>8.2799999999999994</v>
      </c>
      <c r="K25">
        <v>-38.0184</v>
      </c>
      <c r="L25">
        <v>145.07839999999999</v>
      </c>
      <c r="M25" t="s">
        <v>326</v>
      </c>
      <c r="N25" s="2">
        <v>45622</v>
      </c>
    </row>
    <row r="26" spans="1:14" x14ac:dyDescent="0.45">
      <c r="A26" t="s">
        <v>229</v>
      </c>
      <c r="B26" t="s">
        <v>327</v>
      </c>
      <c r="C26">
        <v>0</v>
      </c>
      <c r="D26" t="s">
        <v>350</v>
      </c>
      <c r="E26" t="s">
        <v>351</v>
      </c>
      <c r="F26">
        <v>0</v>
      </c>
      <c r="G26">
        <v>0</v>
      </c>
      <c r="H26">
        <v>0</v>
      </c>
      <c r="I26">
        <v>18.399999999999999</v>
      </c>
      <c r="J26">
        <v>8.23</v>
      </c>
      <c r="K26">
        <v>-38.017829999999996</v>
      </c>
      <c r="L26">
        <v>145.07760999999999</v>
      </c>
      <c r="M26" t="s">
        <v>326</v>
      </c>
      <c r="N26" s="2">
        <v>45622</v>
      </c>
    </row>
    <row r="27" spans="1:14" x14ac:dyDescent="0.45">
      <c r="A27" s="15" t="s">
        <v>314</v>
      </c>
      <c r="B27" t="s">
        <v>327</v>
      </c>
      <c r="C27">
        <v>0</v>
      </c>
      <c r="D27" t="s">
        <v>350</v>
      </c>
      <c r="E27" t="s">
        <v>351</v>
      </c>
      <c r="F27">
        <v>0</v>
      </c>
      <c r="G27">
        <v>0</v>
      </c>
      <c r="H27">
        <v>0</v>
      </c>
      <c r="I27">
        <v>18.399999999999999</v>
      </c>
      <c r="J27">
        <v>8.23</v>
      </c>
      <c r="K27">
        <v>-38.017229999999998</v>
      </c>
      <c r="L27">
        <v>145.07682</v>
      </c>
      <c r="M27" t="s">
        <v>326</v>
      </c>
      <c r="N27" s="2">
        <v>45622</v>
      </c>
    </row>
    <row r="28" spans="1:14" x14ac:dyDescent="0.45">
      <c r="A28" s="15" t="s">
        <v>238</v>
      </c>
      <c r="B28" t="s">
        <v>327</v>
      </c>
      <c r="C28">
        <v>0</v>
      </c>
      <c r="D28" t="s">
        <v>350</v>
      </c>
      <c r="E28" t="s">
        <v>351</v>
      </c>
      <c r="F28">
        <v>0</v>
      </c>
      <c r="G28">
        <v>0</v>
      </c>
      <c r="H28">
        <v>0</v>
      </c>
      <c r="I28">
        <v>18.399999999999999</v>
      </c>
      <c r="J28">
        <v>8.4700000000000006</v>
      </c>
      <c r="K28">
        <v>-38.016550000000002</v>
      </c>
      <c r="L28">
        <v>145.07602</v>
      </c>
      <c r="M28" t="s">
        <v>326</v>
      </c>
      <c r="N28" s="2">
        <v>45622</v>
      </c>
    </row>
    <row r="29" spans="1:14" x14ac:dyDescent="0.45">
      <c r="A29" s="15" t="s">
        <v>301</v>
      </c>
      <c r="B29" t="s">
        <v>327</v>
      </c>
      <c r="C29">
        <v>0</v>
      </c>
      <c r="D29" t="s">
        <v>350</v>
      </c>
      <c r="E29" t="s">
        <v>368</v>
      </c>
      <c r="F29">
        <v>0</v>
      </c>
      <c r="G29">
        <v>1</v>
      </c>
      <c r="H29">
        <v>1</v>
      </c>
      <c r="I29">
        <v>18.399999999999999</v>
      </c>
      <c r="J29">
        <v>8.16</v>
      </c>
      <c r="K29">
        <v>-38.015909999999998</v>
      </c>
      <c r="L29">
        <v>145.07517999999999</v>
      </c>
      <c r="M29" t="s">
        <v>326</v>
      </c>
      <c r="N29" s="2">
        <v>45622</v>
      </c>
    </row>
    <row r="30" spans="1:14" x14ac:dyDescent="0.45">
      <c r="A30" t="s">
        <v>194</v>
      </c>
      <c r="B30" t="s">
        <v>327</v>
      </c>
      <c r="C30">
        <v>0</v>
      </c>
      <c r="D30" t="s">
        <v>350</v>
      </c>
      <c r="E30" t="s">
        <v>370</v>
      </c>
      <c r="F30">
        <v>0</v>
      </c>
      <c r="G30">
        <v>1</v>
      </c>
      <c r="H30">
        <v>1</v>
      </c>
      <c r="I30">
        <v>18.399999999999999</v>
      </c>
      <c r="J30">
        <v>8.3000000000000007</v>
      </c>
      <c r="K30">
        <v>-38.015270000000001</v>
      </c>
      <c r="L30">
        <v>145.07431</v>
      </c>
      <c r="M30" t="s">
        <v>326</v>
      </c>
      <c r="N30" s="2">
        <v>45622</v>
      </c>
    </row>
    <row r="31" spans="1:14" x14ac:dyDescent="0.45">
      <c r="A31" t="s">
        <v>157</v>
      </c>
      <c r="B31" t="s">
        <v>327</v>
      </c>
      <c r="C31">
        <v>0</v>
      </c>
      <c r="D31" t="s">
        <v>350</v>
      </c>
      <c r="E31" t="s">
        <v>355</v>
      </c>
      <c r="F31">
        <v>0</v>
      </c>
      <c r="G31">
        <v>1</v>
      </c>
      <c r="H31">
        <v>0</v>
      </c>
      <c r="I31">
        <v>18.399999999999999</v>
      </c>
      <c r="J31">
        <v>9.08</v>
      </c>
      <c r="K31">
        <v>-38.014650000000003</v>
      </c>
      <c r="L31">
        <v>145.07355999999999</v>
      </c>
      <c r="M31" t="s">
        <v>326</v>
      </c>
      <c r="N31" s="2">
        <v>45622</v>
      </c>
    </row>
    <row r="32" spans="1:14" x14ac:dyDescent="0.45">
      <c r="A32" t="s">
        <v>245</v>
      </c>
      <c r="B32" t="s">
        <v>327</v>
      </c>
      <c r="C32">
        <v>0</v>
      </c>
      <c r="D32" t="s">
        <v>350</v>
      </c>
      <c r="E32" t="s">
        <v>355</v>
      </c>
      <c r="F32">
        <v>0</v>
      </c>
      <c r="G32">
        <v>1</v>
      </c>
      <c r="H32">
        <v>0</v>
      </c>
      <c r="I32">
        <v>18.5</v>
      </c>
      <c r="J32">
        <v>8.94</v>
      </c>
      <c r="K32">
        <v>-38.016129999999997</v>
      </c>
      <c r="L32">
        <v>145.07141999999999</v>
      </c>
      <c r="M32" t="s">
        <v>326</v>
      </c>
      <c r="N32" s="2">
        <v>45622</v>
      </c>
    </row>
    <row r="33" spans="1:14" x14ac:dyDescent="0.45">
      <c r="A33" s="15" t="s">
        <v>246</v>
      </c>
      <c r="B33" t="s">
        <v>327</v>
      </c>
      <c r="C33">
        <v>0</v>
      </c>
      <c r="D33" t="s">
        <v>350</v>
      </c>
      <c r="E33" t="s">
        <v>344</v>
      </c>
      <c r="F33">
        <v>0</v>
      </c>
      <c r="G33">
        <v>0</v>
      </c>
      <c r="H33">
        <v>0</v>
      </c>
      <c r="I33">
        <v>18.5</v>
      </c>
      <c r="J33">
        <v>8.82</v>
      </c>
      <c r="K33">
        <v>-38.016669999999998</v>
      </c>
      <c r="L33">
        <v>145.07216</v>
      </c>
      <c r="M33" t="s">
        <v>326</v>
      </c>
      <c r="N33" s="2">
        <v>45622</v>
      </c>
    </row>
    <row r="34" spans="1:14" x14ac:dyDescent="0.45">
      <c r="A34" s="15" t="s">
        <v>224</v>
      </c>
      <c r="B34" t="s">
        <v>327</v>
      </c>
      <c r="C34">
        <v>0</v>
      </c>
      <c r="D34" t="s">
        <v>350</v>
      </c>
      <c r="E34" t="s">
        <v>373</v>
      </c>
      <c r="F34">
        <v>0</v>
      </c>
      <c r="G34">
        <v>0</v>
      </c>
      <c r="H34">
        <v>1</v>
      </c>
      <c r="I34">
        <v>18.5</v>
      </c>
      <c r="J34">
        <v>8.8000000000000007</v>
      </c>
      <c r="K34">
        <v>-38.01735</v>
      </c>
      <c r="L34">
        <v>145.07300000000001</v>
      </c>
      <c r="M34" t="s">
        <v>326</v>
      </c>
      <c r="N34" s="2">
        <v>45622</v>
      </c>
    </row>
    <row r="35" spans="1:14" x14ac:dyDescent="0.45">
      <c r="A35" s="15" t="s">
        <v>290</v>
      </c>
      <c r="B35" t="s">
        <v>327</v>
      </c>
      <c r="C35">
        <v>0</v>
      </c>
      <c r="D35" t="s">
        <v>350</v>
      </c>
      <c r="E35" t="s">
        <v>344</v>
      </c>
      <c r="F35">
        <v>0</v>
      </c>
      <c r="G35">
        <v>0</v>
      </c>
      <c r="H35">
        <v>0</v>
      </c>
      <c r="I35">
        <v>18.5</v>
      </c>
      <c r="J35">
        <v>8.75</v>
      </c>
      <c r="K35">
        <v>-38.017919999999997</v>
      </c>
      <c r="L35">
        <v>145.0737</v>
      </c>
      <c r="M35" t="s">
        <v>326</v>
      </c>
      <c r="N35" s="2">
        <v>45622</v>
      </c>
    </row>
    <row r="36" spans="1:14" x14ac:dyDescent="0.45">
      <c r="A36" t="s">
        <v>283</v>
      </c>
      <c r="B36" t="s">
        <v>327</v>
      </c>
      <c r="C36">
        <v>0</v>
      </c>
      <c r="D36" t="s">
        <v>350</v>
      </c>
      <c r="E36" t="s">
        <v>344</v>
      </c>
      <c r="F36">
        <v>0</v>
      </c>
      <c r="G36">
        <v>0</v>
      </c>
      <c r="H36">
        <v>0</v>
      </c>
      <c r="I36">
        <v>18.5</v>
      </c>
      <c r="J36">
        <v>8.61</v>
      </c>
      <c r="K36">
        <v>-38.018650000000001</v>
      </c>
      <c r="L36">
        <v>145.07459</v>
      </c>
      <c r="M36" t="s">
        <v>326</v>
      </c>
      <c r="N36" s="2">
        <v>45622</v>
      </c>
    </row>
    <row r="37" spans="1:14" x14ac:dyDescent="0.45">
      <c r="A37" t="s">
        <v>305</v>
      </c>
      <c r="B37" t="s">
        <v>327</v>
      </c>
      <c r="C37">
        <v>0</v>
      </c>
      <c r="D37" t="s">
        <v>350</v>
      </c>
      <c r="E37" t="s">
        <v>344</v>
      </c>
      <c r="F37">
        <v>0</v>
      </c>
      <c r="G37">
        <v>0</v>
      </c>
      <c r="H37">
        <v>0</v>
      </c>
      <c r="I37">
        <v>18.5</v>
      </c>
      <c r="J37">
        <v>8.59</v>
      </c>
      <c r="K37">
        <v>-38.01923</v>
      </c>
      <c r="L37">
        <v>145.07534000000001</v>
      </c>
      <c r="M37" t="s">
        <v>326</v>
      </c>
      <c r="N37" s="2">
        <v>45622</v>
      </c>
    </row>
    <row r="38" spans="1:14" x14ac:dyDescent="0.45">
      <c r="A38" t="s">
        <v>306</v>
      </c>
      <c r="B38" t="s">
        <v>327</v>
      </c>
      <c r="C38">
        <v>0</v>
      </c>
      <c r="D38" t="s">
        <v>350</v>
      </c>
      <c r="E38" t="s">
        <v>344</v>
      </c>
      <c r="F38">
        <v>0</v>
      </c>
      <c r="G38">
        <v>0</v>
      </c>
      <c r="H38">
        <v>0</v>
      </c>
      <c r="I38">
        <v>18.5</v>
      </c>
      <c r="J38">
        <v>9.06</v>
      </c>
      <c r="K38">
        <v>-38.019869999999997</v>
      </c>
      <c r="L38">
        <v>145.0761</v>
      </c>
      <c r="M38" t="s">
        <v>326</v>
      </c>
      <c r="N38" s="2">
        <v>45622</v>
      </c>
    </row>
    <row r="39" spans="1:14" x14ac:dyDescent="0.45">
      <c r="A39" s="15" t="s">
        <v>213</v>
      </c>
      <c r="B39" t="s">
        <v>327</v>
      </c>
      <c r="C39">
        <v>0</v>
      </c>
      <c r="D39" t="s">
        <v>350</v>
      </c>
      <c r="E39" t="s">
        <v>377</v>
      </c>
      <c r="F39">
        <v>0</v>
      </c>
      <c r="G39">
        <v>1</v>
      </c>
      <c r="H39">
        <v>1</v>
      </c>
      <c r="I39">
        <v>18.5</v>
      </c>
      <c r="J39">
        <v>8.68</v>
      </c>
      <c r="K39">
        <v>-38.020519999999998</v>
      </c>
      <c r="L39">
        <v>145.07686000000001</v>
      </c>
      <c r="M39" t="s">
        <v>326</v>
      </c>
      <c r="N39" s="2">
        <v>45622</v>
      </c>
    </row>
    <row r="40" spans="1:14" x14ac:dyDescent="0.45">
      <c r="A40" s="15" t="s">
        <v>231</v>
      </c>
      <c r="B40" t="s">
        <v>327</v>
      </c>
      <c r="C40">
        <v>0</v>
      </c>
      <c r="D40" t="s">
        <v>350</v>
      </c>
      <c r="E40" t="s">
        <v>344</v>
      </c>
      <c r="F40">
        <v>0</v>
      </c>
      <c r="G40">
        <v>0</v>
      </c>
      <c r="H40">
        <v>0</v>
      </c>
      <c r="I40">
        <v>18.5</v>
      </c>
      <c r="J40">
        <v>8.6300000000000008</v>
      </c>
      <c r="K40">
        <v>-38.021180000000001</v>
      </c>
      <c r="L40">
        <v>145.07772</v>
      </c>
      <c r="M40" t="s">
        <v>326</v>
      </c>
      <c r="N40" s="2">
        <v>45622</v>
      </c>
    </row>
    <row r="41" spans="1:14" x14ac:dyDescent="0.45">
      <c r="A41" t="s">
        <v>191</v>
      </c>
      <c r="B41" s="17" t="s">
        <v>359</v>
      </c>
      <c r="C41">
        <v>1</v>
      </c>
      <c r="D41" t="s">
        <v>350</v>
      </c>
      <c r="E41" t="s">
        <v>378</v>
      </c>
      <c r="F41">
        <v>0</v>
      </c>
      <c r="G41">
        <v>1</v>
      </c>
      <c r="H41">
        <v>0</v>
      </c>
      <c r="I41">
        <v>18.600000000000001</v>
      </c>
      <c r="J41">
        <v>9.23</v>
      </c>
      <c r="K41">
        <v>-38.021790000000003</v>
      </c>
      <c r="L41">
        <v>145.07848999999999</v>
      </c>
      <c r="M41" t="s">
        <v>326</v>
      </c>
      <c r="N41" s="2">
        <v>45622</v>
      </c>
    </row>
    <row r="42" spans="1:14" x14ac:dyDescent="0.45">
      <c r="A42" s="15" t="s">
        <v>164</v>
      </c>
      <c r="B42" t="s">
        <v>327</v>
      </c>
      <c r="C42">
        <v>0</v>
      </c>
      <c r="D42" t="s">
        <v>350</v>
      </c>
      <c r="E42" t="s">
        <v>381</v>
      </c>
      <c r="F42">
        <v>0</v>
      </c>
      <c r="G42">
        <v>0</v>
      </c>
      <c r="H42">
        <v>0</v>
      </c>
      <c r="I42">
        <v>18.600000000000001</v>
      </c>
      <c r="J42">
        <v>9.18</v>
      </c>
      <c r="K42">
        <v>-38.023269999999997</v>
      </c>
      <c r="L42">
        <v>145.07616999999999</v>
      </c>
      <c r="M42" t="s">
        <v>326</v>
      </c>
      <c r="N42" s="2">
        <v>45622</v>
      </c>
    </row>
    <row r="43" spans="1:14" x14ac:dyDescent="0.45">
      <c r="A43" t="s">
        <v>222</v>
      </c>
      <c r="B43" t="s">
        <v>327</v>
      </c>
      <c r="C43">
        <v>0</v>
      </c>
      <c r="D43" t="s">
        <v>350</v>
      </c>
      <c r="E43" t="s">
        <v>381</v>
      </c>
      <c r="F43">
        <v>0</v>
      </c>
      <c r="G43">
        <v>0</v>
      </c>
      <c r="H43">
        <v>0</v>
      </c>
      <c r="I43">
        <v>18.600000000000001</v>
      </c>
      <c r="J43">
        <v>9.11</v>
      </c>
      <c r="K43">
        <v>-38.022620000000003</v>
      </c>
      <c r="L43">
        <v>145.07543000000001</v>
      </c>
      <c r="M43" t="s">
        <v>326</v>
      </c>
      <c r="N43" s="2">
        <v>45622</v>
      </c>
    </row>
    <row r="44" spans="1:14" x14ac:dyDescent="0.45">
      <c r="A44" s="15" t="s">
        <v>199</v>
      </c>
      <c r="B44" t="s">
        <v>327</v>
      </c>
      <c r="C44">
        <v>0</v>
      </c>
      <c r="D44" t="s">
        <v>350</v>
      </c>
      <c r="E44" t="s">
        <v>381</v>
      </c>
      <c r="F44">
        <v>0</v>
      </c>
      <c r="G44">
        <v>0</v>
      </c>
      <c r="H44">
        <v>0</v>
      </c>
      <c r="I44">
        <v>18.7</v>
      </c>
      <c r="J44">
        <v>9.1999999999999993</v>
      </c>
      <c r="K44">
        <v>-38.022019999999998</v>
      </c>
      <c r="L44">
        <v>145.07469</v>
      </c>
      <c r="M44" t="s">
        <v>326</v>
      </c>
      <c r="N44" s="2">
        <v>45622</v>
      </c>
    </row>
    <row r="45" spans="1:14" x14ac:dyDescent="0.45">
      <c r="A45" t="s">
        <v>276</v>
      </c>
      <c r="B45" s="17" t="s">
        <v>383</v>
      </c>
      <c r="C45">
        <v>1</v>
      </c>
      <c r="D45" t="s">
        <v>336</v>
      </c>
      <c r="E45" t="s">
        <v>384</v>
      </c>
      <c r="F45">
        <v>0</v>
      </c>
      <c r="G45">
        <v>0</v>
      </c>
      <c r="H45">
        <v>0</v>
      </c>
      <c r="I45">
        <v>18.7</v>
      </c>
      <c r="J45">
        <v>9.3000000000000007</v>
      </c>
      <c r="K45">
        <v>-38.021360000000001</v>
      </c>
      <c r="L45">
        <v>145.07386</v>
      </c>
      <c r="M45" t="s">
        <v>326</v>
      </c>
      <c r="N45" s="2">
        <v>45622</v>
      </c>
    </row>
    <row r="46" spans="1:14" x14ac:dyDescent="0.45">
      <c r="A46" s="15" t="s">
        <v>232</v>
      </c>
      <c r="B46" t="s">
        <v>327</v>
      </c>
      <c r="C46">
        <v>0</v>
      </c>
      <c r="D46" t="s">
        <v>350</v>
      </c>
      <c r="E46" t="s">
        <v>381</v>
      </c>
      <c r="F46">
        <v>0</v>
      </c>
      <c r="G46">
        <v>0</v>
      </c>
      <c r="H46">
        <v>0</v>
      </c>
      <c r="I46">
        <v>18.7</v>
      </c>
      <c r="J46" t="s">
        <v>352</v>
      </c>
      <c r="K46">
        <v>-38.020690000000002</v>
      </c>
      <c r="L46">
        <v>145.07306</v>
      </c>
      <c r="M46" t="s">
        <v>326</v>
      </c>
      <c r="N46" s="2">
        <v>45622</v>
      </c>
    </row>
    <row r="47" spans="1:14" x14ac:dyDescent="0.45">
      <c r="A47" s="15" t="s">
        <v>193</v>
      </c>
      <c r="B47" t="s">
        <v>327</v>
      </c>
      <c r="C47">
        <v>0</v>
      </c>
      <c r="D47" t="s">
        <v>350</v>
      </c>
      <c r="E47" t="s">
        <v>381</v>
      </c>
      <c r="F47">
        <v>0</v>
      </c>
      <c r="G47">
        <v>0</v>
      </c>
      <c r="H47">
        <v>0</v>
      </c>
      <c r="I47">
        <v>18.7</v>
      </c>
      <c r="J47">
        <v>9.56</v>
      </c>
      <c r="K47">
        <v>-38.01999</v>
      </c>
      <c r="L47">
        <v>145.07227</v>
      </c>
      <c r="M47" t="s">
        <v>326</v>
      </c>
      <c r="N47" s="2">
        <v>45622</v>
      </c>
    </row>
    <row r="48" spans="1:14" x14ac:dyDescent="0.45">
      <c r="A48" s="15" t="s">
        <v>243</v>
      </c>
      <c r="B48" t="s">
        <v>327</v>
      </c>
      <c r="C48">
        <v>0</v>
      </c>
      <c r="D48" t="s">
        <v>350</v>
      </c>
      <c r="E48" t="s">
        <v>381</v>
      </c>
      <c r="F48">
        <v>0</v>
      </c>
      <c r="G48">
        <v>0</v>
      </c>
      <c r="H48">
        <v>0</v>
      </c>
      <c r="I48">
        <v>18.7</v>
      </c>
      <c r="J48">
        <v>10.65</v>
      </c>
      <c r="K48">
        <v>-38.019370000000002</v>
      </c>
      <c r="L48">
        <v>145.07147000000001</v>
      </c>
      <c r="M48" t="s">
        <v>326</v>
      </c>
      <c r="N48" s="2">
        <v>45622</v>
      </c>
    </row>
    <row r="49" spans="1:14" x14ac:dyDescent="0.45">
      <c r="A49" s="15" t="s">
        <v>308</v>
      </c>
      <c r="B49" t="s">
        <v>327</v>
      </c>
      <c r="C49">
        <v>0</v>
      </c>
      <c r="D49" t="s">
        <v>350</v>
      </c>
      <c r="E49" t="s">
        <v>389</v>
      </c>
      <c r="F49">
        <v>0</v>
      </c>
      <c r="G49">
        <v>1</v>
      </c>
      <c r="H49">
        <v>0</v>
      </c>
      <c r="I49">
        <v>18.7</v>
      </c>
      <c r="J49">
        <v>9.8000000000000007</v>
      </c>
      <c r="K49">
        <v>-38.018729999999998</v>
      </c>
      <c r="L49">
        <v>145.07065</v>
      </c>
      <c r="M49" t="s">
        <v>326</v>
      </c>
      <c r="N49" s="2">
        <v>45622</v>
      </c>
    </row>
    <row r="50" spans="1:14" x14ac:dyDescent="0.45">
      <c r="A50" s="15" t="s">
        <v>200</v>
      </c>
      <c r="B50" t="s">
        <v>327</v>
      </c>
      <c r="C50">
        <v>0</v>
      </c>
      <c r="D50" t="s">
        <v>350</v>
      </c>
      <c r="E50" t="s">
        <v>381</v>
      </c>
      <c r="F50">
        <v>0</v>
      </c>
      <c r="G50">
        <v>0</v>
      </c>
      <c r="H50">
        <v>0</v>
      </c>
      <c r="I50">
        <v>18.7</v>
      </c>
      <c r="J50">
        <v>9.6300000000000008</v>
      </c>
      <c r="K50">
        <v>-38.018059999999998</v>
      </c>
      <c r="L50">
        <v>145.06986000000001</v>
      </c>
      <c r="M50" t="s">
        <v>326</v>
      </c>
      <c r="N50" s="2">
        <v>45622</v>
      </c>
    </row>
    <row r="51" spans="1:14" x14ac:dyDescent="0.45">
      <c r="A51" t="s">
        <v>202</v>
      </c>
      <c r="B51" t="s">
        <v>327</v>
      </c>
      <c r="C51">
        <v>0</v>
      </c>
      <c r="D51" t="s">
        <v>350</v>
      </c>
      <c r="E51" t="s">
        <v>390</v>
      </c>
      <c r="F51">
        <v>1</v>
      </c>
      <c r="G51">
        <v>1</v>
      </c>
      <c r="H51">
        <v>0</v>
      </c>
      <c r="I51">
        <v>18.7</v>
      </c>
      <c r="J51" t="s">
        <v>352</v>
      </c>
      <c r="K51">
        <v>-38.017470000000003</v>
      </c>
      <c r="L51">
        <v>145.06913</v>
      </c>
      <c r="M51" t="s">
        <v>326</v>
      </c>
      <c r="N51" s="2">
        <v>45622</v>
      </c>
    </row>
    <row r="52" spans="1:14" x14ac:dyDescent="0.45">
      <c r="A52" s="15" t="s">
        <v>239</v>
      </c>
      <c r="B52" t="s">
        <v>327</v>
      </c>
      <c r="C52">
        <v>0</v>
      </c>
      <c r="D52" t="s">
        <v>328</v>
      </c>
      <c r="E52" t="s">
        <v>329</v>
      </c>
      <c r="F52">
        <v>1</v>
      </c>
      <c r="G52">
        <v>0</v>
      </c>
      <c r="H52">
        <v>1</v>
      </c>
      <c r="I52">
        <v>17.7</v>
      </c>
      <c r="J52">
        <v>7.61</v>
      </c>
      <c r="K52">
        <v>-38.360379999999999</v>
      </c>
      <c r="L52">
        <v>144.81399999999999</v>
      </c>
      <c r="M52" t="s">
        <v>753</v>
      </c>
      <c r="N52" s="2">
        <v>45621</v>
      </c>
    </row>
    <row r="53" spans="1:14" x14ac:dyDescent="0.45">
      <c r="A53" t="s">
        <v>257</v>
      </c>
      <c r="B53" t="s">
        <v>327</v>
      </c>
      <c r="C53">
        <v>0</v>
      </c>
      <c r="D53" t="s">
        <v>328</v>
      </c>
      <c r="E53" t="s">
        <v>334</v>
      </c>
      <c r="F53">
        <v>0</v>
      </c>
      <c r="G53">
        <v>1</v>
      </c>
      <c r="H53">
        <v>1</v>
      </c>
      <c r="I53">
        <v>17.7</v>
      </c>
      <c r="J53">
        <v>8.94</v>
      </c>
      <c r="K53">
        <v>-38.360610000000001</v>
      </c>
      <c r="L53">
        <v>144.81399999999999</v>
      </c>
      <c r="M53" t="s">
        <v>753</v>
      </c>
      <c r="N53" s="2">
        <v>45621</v>
      </c>
    </row>
    <row r="54" spans="1:14" x14ac:dyDescent="0.45">
      <c r="A54" s="15" t="s">
        <v>312</v>
      </c>
      <c r="B54" t="s">
        <v>327</v>
      </c>
      <c r="C54">
        <v>0</v>
      </c>
      <c r="D54" t="s">
        <v>328</v>
      </c>
      <c r="E54" t="s">
        <v>339</v>
      </c>
      <c r="F54">
        <v>1</v>
      </c>
      <c r="G54">
        <v>1</v>
      </c>
      <c r="H54">
        <v>0</v>
      </c>
      <c r="I54">
        <v>17.7</v>
      </c>
      <c r="J54">
        <v>8.94</v>
      </c>
      <c r="K54">
        <v>-38.36074</v>
      </c>
      <c r="L54">
        <v>144.81399999999999</v>
      </c>
      <c r="M54" t="s">
        <v>753</v>
      </c>
      <c r="N54" s="2">
        <v>45621</v>
      </c>
    </row>
    <row r="55" spans="1:14" x14ac:dyDescent="0.45">
      <c r="A55" s="15" t="s">
        <v>210</v>
      </c>
      <c r="B55" t="s">
        <v>327</v>
      </c>
      <c r="C55">
        <v>0</v>
      </c>
      <c r="D55" t="s">
        <v>328</v>
      </c>
      <c r="E55" t="s">
        <v>341</v>
      </c>
      <c r="F55">
        <v>1</v>
      </c>
      <c r="G55">
        <v>1</v>
      </c>
      <c r="H55">
        <v>0</v>
      </c>
      <c r="I55">
        <v>17.7</v>
      </c>
      <c r="J55">
        <v>12.88</v>
      </c>
      <c r="K55">
        <v>-38.360950000000003</v>
      </c>
      <c r="L55">
        <v>144.81399999999999</v>
      </c>
      <c r="M55" t="s">
        <v>753</v>
      </c>
      <c r="N55" s="2">
        <v>45621</v>
      </c>
    </row>
    <row r="56" spans="1:14" x14ac:dyDescent="0.45">
      <c r="A56" s="15" t="s">
        <v>214</v>
      </c>
      <c r="B56" t="s">
        <v>327</v>
      </c>
      <c r="C56">
        <v>0</v>
      </c>
      <c r="D56" t="s">
        <v>328</v>
      </c>
      <c r="E56" t="s">
        <v>343</v>
      </c>
      <c r="F56">
        <v>1</v>
      </c>
      <c r="G56">
        <v>1</v>
      </c>
      <c r="H56">
        <v>0</v>
      </c>
      <c r="I56">
        <v>17.7</v>
      </c>
      <c r="J56">
        <v>13.05</v>
      </c>
      <c r="K56">
        <v>-38.361069999999998</v>
      </c>
      <c r="L56">
        <v>144.81399999999999</v>
      </c>
      <c r="M56" t="s">
        <v>753</v>
      </c>
      <c r="N56" s="2">
        <v>45621</v>
      </c>
    </row>
    <row r="57" spans="1:14" x14ac:dyDescent="0.45">
      <c r="A57" s="15" t="s">
        <v>206</v>
      </c>
      <c r="B57" t="s">
        <v>327</v>
      </c>
      <c r="C57">
        <v>0</v>
      </c>
      <c r="D57" t="s">
        <v>328</v>
      </c>
      <c r="E57" t="s">
        <v>339</v>
      </c>
      <c r="F57">
        <v>1</v>
      </c>
      <c r="G57">
        <v>1</v>
      </c>
      <c r="H57">
        <v>0</v>
      </c>
      <c r="I57">
        <v>17.7</v>
      </c>
      <c r="J57">
        <v>13.26</v>
      </c>
      <c r="K57">
        <v>-38.361229999999999</v>
      </c>
      <c r="L57">
        <v>144.81399999999999</v>
      </c>
      <c r="M57" t="s">
        <v>753</v>
      </c>
      <c r="N57" s="2">
        <v>45621</v>
      </c>
    </row>
    <row r="58" spans="1:14" x14ac:dyDescent="0.45">
      <c r="A58" s="15" t="s">
        <v>174</v>
      </c>
      <c r="B58" t="s">
        <v>327</v>
      </c>
      <c r="C58">
        <v>0</v>
      </c>
      <c r="D58" t="s">
        <v>328</v>
      </c>
      <c r="E58" t="s">
        <v>339</v>
      </c>
      <c r="F58">
        <v>1</v>
      </c>
      <c r="G58">
        <v>1</v>
      </c>
      <c r="H58">
        <v>0</v>
      </c>
      <c r="I58">
        <v>17.7</v>
      </c>
      <c r="J58">
        <v>12.76</v>
      </c>
      <c r="K58">
        <v>-38.361409999999999</v>
      </c>
      <c r="L58">
        <v>144.81399999999999</v>
      </c>
      <c r="M58" t="s">
        <v>753</v>
      </c>
      <c r="N58" s="2">
        <v>45621</v>
      </c>
    </row>
    <row r="59" spans="1:14" x14ac:dyDescent="0.45">
      <c r="A59" t="s">
        <v>302</v>
      </c>
      <c r="B59" t="s">
        <v>327</v>
      </c>
      <c r="C59">
        <v>0</v>
      </c>
      <c r="D59" t="s">
        <v>328</v>
      </c>
      <c r="E59" t="s">
        <v>345</v>
      </c>
      <c r="F59">
        <v>1</v>
      </c>
      <c r="G59">
        <v>1</v>
      </c>
      <c r="H59">
        <v>0</v>
      </c>
      <c r="I59">
        <v>17.7</v>
      </c>
      <c r="J59">
        <v>12.57</v>
      </c>
      <c r="K59">
        <v>-38.361550000000001</v>
      </c>
      <c r="L59">
        <v>144.81399999999999</v>
      </c>
      <c r="M59" t="s">
        <v>753</v>
      </c>
      <c r="N59" s="2">
        <v>45621</v>
      </c>
    </row>
    <row r="60" spans="1:14" x14ac:dyDescent="0.45">
      <c r="A60" s="15" t="s">
        <v>178</v>
      </c>
      <c r="B60" t="s">
        <v>327</v>
      </c>
      <c r="C60">
        <v>0</v>
      </c>
      <c r="D60" t="s">
        <v>328</v>
      </c>
      <c r="E60" t="s">
        <v>345</v>
      </c>
      <c r="F60">
        <v>1</v>
      </c>
      <c r="G60">
        <v>1</v>
      </c>
      <c r="H60">
        <v>0</v>
      </c>
      <c r="I60">
        <v>17.7</v>
      </c>
      <c r="J60">
        <v>12.67</v>
      </c>
      <c r="K60">
        <v>-38.361719999999998</v>
      </c>
      <c r="L60">
        <v>144.81399999999999</v>
      </c>
      <c r="M60" t="s">
        <v>753</v>
      </c>
      <c r="N60" s="2">
        <v>45621</v>
      </c>
    </row>
    <row r="61" spans="1:14" x14ac:dyDescent="0.45">
      <c r="A61" t="s">
        <v>304</v>
      </c>
      <c r="B61" t="s">
        <v>327</v>
      </c>
      <c r="C61">
        <v>0</v>
      </c>
      <c r="D61" t="s">
        <v>328</v>
      </c>
      <c r="E61" t="s">
        <v>345</v>
      </c>
      <c r="F61">
        <v>1</v>
      </c>
      <c r="G61">
        <v>1</v>
      </c>
      <c r="H61">
        <v>0</v>
      </c>
      <c r="I61">
        <v>17.7</v>
      </c>
      <c r="J61">
        <v>12.52</v>
      </c>
      <c r="K61">
        <v>-38.361829999999998</v>
      </c>
      <c r="L61">
        <v>144.81399999999999</v>
      </c>
      <c r="M61" t="s">
        <v>753</v>
      </c>
      <c r="N61" s="2">
        <v>45621</v>
      </c>
    </row>
    <row r="62" spans="1:14" x14ac:dyDescent="0.45">
      <c r="A62" s="15" t="s">
        <v>204</v>
      </c>
      <c r="B62" t="s">
        <v>327</v>
      </c>
      <c r="C62">
        <v>0</v>
      </c>
      <c r="D62" t="s">
        <v>328</v>
      </c>
      <c r="E62" t="s">
        <v>339</v>
      </c>
      <c r="F62">
        <v>1</v>
      </c>
      <c r="G62">
        <v>1</v>
      </c>
      <c r="H62">
        <v>0</v>
      </c>
      <c r="I62">
        <v>17.7</v>
      </c>
      <c r="K62">
        <v>-38.359610000000004</v>
      </c>
      <c r="L62">
        <v>144.82488000000001</v>
      </c>
      <c r="M62" t="s">
        <v>753</v>
      </c>
      <c r="N62" s="2">
        <v>45621</v>
      </c>
    </row>
    <row r="63" spans="1:14" x14ac:dyDescent="0.45">
      <c r="A63" t="s">
        <v>223</v>
      </c>
      <c r="B63" t="s">
        <v>327</v>
      </c>
      <c r="C63">
        <v>0</v>
      </c>
      <c r="D63" t="s">
        <v>328</v>
      </c>
      <c r="E63" t="s">
        <v>349</v>
      </c>
      <c r="F63">
        <v>1</v>
      </c>
      <c r="G63">
        <v>1</v>
      </c>
      <c r="H63">
        <v>1</v>
      </c>
      <c r="I63">
        <v>17.7</v>
      </c>
      <c r="J63">
        <v>12.71</v>
      </c>
      <c r="K63">
        <v>-38.358170000000001</v>
      </c>
      <c r="L63">
        <v>144.81440000000001</v>
      </c>
      <c r="M63" t="s">
        <v>753</v>
      </c>
      <c r="N63" s="2">
        <v>45621</v>
      </c>
    </row>
    <row r="64" spans="1:14" x14ac:dyDescent="0.45">
      <c r="A64" t="s">
        <v>277</v>
      </c>
      <c r="B64" t="s">
        <v>327</v>
      </c>
      <c r="C64">
        <v>0</v>
      </c>
      <c r="D64" t="s">
        <v>328</v>
      </c>
      <c r="E64" t="s">
        <v>345</v>
      </c>
      <c r="F64">
        <v>1</v>
      </c>
      <c r="G64">
        <v>1</v>
      </c>
      <c r="H64">
        <v>0</v>
      </c>
      <c r="I64">
        <v>17.7</v>
      </c>
      <c r="J64">
        <v>13.12</v>
      </c>
      <c r="K64">
        <v>-38.358170000000001</v>
      </c>
      <c r="L64">
        <v>144.81440000000001</v>
      </c>
      <c r="M64" t="s">
        <v>753</v>
      </c>
      <c r="N64" s="2">
        <v>45621</v>
      </c>
    </row>
    <row r="65" spans="1:14" x14ac:dyDescent="0.45">
      <c r="A65" t="s">
        <v>294</v>
      </c>
      <c r="B65" t="s">
        <v>327</v>
      </c>
      <c r="C65">
        <v>0</v>
      </c>
      <c r="D65" t="s">
        <v>328</v>
      </c>
      <c r="E65" t="s">
        <v>345</v>
      </c>
      <c r="F65">
        <v>1</v>
      </c>
      <c r="G65">
        <v>1</v>
      </c>
      <c r="H65">
        <v>0</v>
      </c>
      <c r="I65">
        <v>17.7</v>
      </c>
      <c r="J65">
        <v>13.345000000000001</v>
      </c>
      <c r="K65">
        <v>-38.358170000000001</v>
      </c>
      <c r="L65">
        <v>144.81440000000001</v>
      </c>
      <c r="M65" t="s">
        <v>753</v>
      </c>
      <c r="N65" s="2">
        <v>45621</v>
      </c>
    </row>
    <row r="66" spans="1:14" x14ac:dyDescent="0.45">
      <c r="A66" s="15" t="s">
        <v>258</v>
      </c>
      <c r="B66" t="s">
        <v>327</v>
      </c>
      <c r="C66">
        <v>0</v>
      </c>
      <c r="D66" t="s">
        <v>328</v>
      </c>
      <c r="E66" t="s">
        <v>353</v>
      </c>
      <c r="F66">
        <v>1</v>
      </c>
      <c r="G66">
        <v>1</v>
      </c>
      <c r="H66">
        <v>1</v>
      </c>
      <c r="I66">
        <v>17.7</v>
      </c>
      <c r="J66">
        <v>13.47</v>
      </c>
      <c r="K66">
        <v>-38.358170000000001</v>
      </c>
      <c r="L66">
        <v>144.81440000000001</v>
      </c>
      <c r="M66" t="s">
        <v>753</v>
      </c>
      <c r="N66" s="2">
        <v>45621</v>
      </c>
    </row>
    <row r="67" spans="1:14" x14ac:dyDescent="0.45">
      <c r="A67" s="15" t="s">
        <v>182</v>
      </c>
      <c r="B67" t="s">
        <v>327</v>
      </c>
      <c r="C67">
        <v>0</v>
      </c>
      <c r="D67" t="s">
        <v>328</v>
      </c>
      <c r="E67" t="s">
        <v>354</v>
      </c>
      <c r="F67">
        <v>1</v>
      </c>
      <c r="G67">
        <v>1</v>
      </c>
      <c r="H67">
        <v>1</v>
      </c>
      <c r="I67">
        <v>17.7</v>
      </c>
      <c r="J67">
        <v>13.73</v>
      </c>
      <c r="K67">
        <v>-38.358170000000001</v>
      </c>
      <c r="L67">
        <v>144.81440000000001</v>
      </c>
      <c r="M67" t="s">
        <v>753</v>
      </c>
      <c r="N67" s="2">
        <v>45621</v>
      </c>
    </row>
    <row r="68" spans="1:14" x14ac:dyDescent="0.45">
      <c r="A68" t="s">
        <v>288</v>
      </c>
      <c r="B68" t="s">
        <v>327</v>
      </c>
      <c r="C68">
        <v>0</v>
      </c>
      <c r="D68" t="s">
        <v>328</v>
      </c>
      <c r="E68" t="s">
        <v>356</v>
      </c>
      <c r="F68">
        <v>1</v>
      </c>
      <c r="G68">
        <v>1</v>
      </c>
      <c r="H68">
        <v>1</v>
      </c>
      <c r="I68">
        <v>17.7</v>
      </c>
      <c r="J68">
        <v>13.9</v>
      </c>
      <c r="K68">
        <v>-38.358170000000001</v>
      </c>
      <c r="L68">
        <v>144.81440000000001</v>
      </c>
      <c r="M68" t="s">
        <v>753</v>
      </c>
      <c r="N68" s="2">
        <v>45621</v>
      </c>
    </row>
    <row r="69" spans="1:14" x14ac:dyDescent="0.45">
      <c r="A69" s="15" t="s">
        <v>221</v>
      </c>
      <c r="B69" t="s">
        <v>327</v>
      </c>
      <c r="C69">
        <v>0</v>
      </c>
      <c r="D69" t="s">
        <v>328</v>
      </c>
      <c r="E69" t="s">
        <v>358</v>
      </c>
      <c r="F69">
        <v>1</v>
      </c>
      <c r="G69">
        <v>1</v>
      </c>
      <c r="H69">
        <v>1</v>
      </c>
      <c r="I69">
        <v>17.7</v>
      </c>
      <c r="J69">
        <v>13.47</v>
      </c>
      <c r="K69">
        <v>-38.358440000000002</v>
      </c>
      <c r="L69">
        <v>144.81775999999999</v>
      </c>
      <c r="M69" t="s">
        <v>753</v>
      </c>
      <c r="N69" s="2">
        <v>45621</v>
      </c>
    </row>
    <row r="70" spans="1:14" x14ac:dyDescent="0.45">
      <c r="A70" s="15" t="s">
        <v>159</v>
      </c>
      <c r="B70" t="s">
        <v>327</v>
      </c>
      <c r="C70">
        <v>0</v>
      </c>
      <c r="D70" t="s">
        <v>328</v>
      </c>
      <c r="E70" t="s">
        <v>361</v>
      </c>
      <c r="F70">
        <v>0</v>
      </c>
      <c r="G70">
        <v>1</v>
      </c>
      <c r="H70">
        <v>0</v>
      </c>
      <c r="I70">
        <v>17.7</v>
      </c>
      <c r="J70">
        <v>11.5</v>
      </c>
      <c r="K70">
        <v>-38.358319999999999</v>
      </c>
      <c r="L70">
        <v>144.81775999999999</v>
      </c>
      <c r="M70" t="s">
        <v>753</v>
      </c>
      <c r="N70" s="2">
        <v>45621</v>
      </c>
    </row>
    <row r="71" spans="1:14" x14ac:dyDescent="0.45">
      <c r="A71" s="15" t="s">
        <v>220</v>
      </c>
      <c r="B71" t="s">
        <v>327</v>
      </c>
      <c r="C71">
        <v>0</v>
      </c>
      <c r="D71" t="s">
        <v>328</v>
      </c>
      <c r="E71" t="s">
        <v>362</v>
      </c>
      <c r="F71">
        <v>0</v>
      </c>
      <c r="G71">
        <v>0</v>
      </c>
      <c r="H71">
        <v>0</v>
      </c>
      <c r="I71">
        <v>17.7</v>
      </c>
      <c r="J71">
        <v>9.65</v>
      </c>
      <c r="K71">
        <v>-38.358150000000002</v>
      </c>
      <c r="L71">
        <v>144.81775999999999</v>
      </c>
      <c r="M71" t="s">
        <v>753</v>
      </c>
      <c r="N71" s="2">
        <v>45621</v>
      </c>
    </row>
    <row r="72" spans="1:14" x14ac:dyDescent="0.45">
      <c r="A72" s="15" t="s">
        <v>177</v>
      </c>
      <c r="B72" t="s">
        <v>327</v>
      </c>
      <c r="C72">
        <v>0</v>
      </c>
      <c r="D72" t="s">
        <v>328</v>
      </c>
      <c r="E72" t="s">
        <v>363</v>
      </c>
      <c r="F72">
        <v>0</v>
      </c>
      <c r="G72">
        <v>1</v>
      </c>
      <c r="H72">
        <v>0</v>
      </c>
      <c r="I72">
        <v>17.7</v>
      </c>
      <c r="K72">
        <v>-38.355879999999999</v>
      </c>
      <c r="L72">
        <v>144.81468000000001</v>
      </c>
      <c r="M72" t="s">
        <v>753</v>
      </c>
      <c r="N72" s="2">
        <v>45621</v>
      </c>
    </row>
    <row r="73" spans="1:14" x14ac:dyDescent="0.45">
      <c r="A73" s="15" t="s">
        <v>195</v>
      </c>
      <c r="B73" t="s">
        <v>327</v>
      </c>
      <c r="C73">
        <v>0</v>
      </c>
      <c r="D73" t="s">
        <v>328</v>
      </c>
      <c r="E73" t="s">
        <v>365</v>
      </c>
      <c r="F73">
        <v>0</v>
      </c>
      <c r="G73">
        <v>1</v>
      </c>
      <c r="H73">
        <v>1</v>
      </c>
      <c r="I73">
        <v>17.7</v>
      </c>
      <c r="K73">
        <v>-38.357149999999997</v>
      </c>
      <c r="L73">
        <v>144.82495</v>
      </c>
      <c r="M73" t="s">
        <v>753</v>
      </c>
      <c r="N73" s="2">
        <v>45621</v>
      </c>
    </row>
    <row r="74" spans="1:14" x14ac:dyDescent="0.45">
      <c r="A74" s="15" t="s">
        <v>227</v>
      </c>
      <c r="B74" t="s">
        <v>327</v>
      </c>
      <c r="C74">
        <v>0</v>
      </c>
      <c r="D74" t="s">
        <v>328</v>
      </c>
      <c r="E74" t="s">
        <v>366</v>
      </c>
      <c r="F74">
        <v>1</v>
      </c>
      <c r="G74">
        <v>1</v>
      </c>
      <c r="H74">
        <v>0</v>
      </c>
      <c r="I74">
        <v>17.7</v>
      </c>
      <c r="J74">
        <v>13.73</v>
      </c>
      <c r="K74">
        <v>-38.355800000000002</v>
      </c>
      <c r="L74">
        <v>144.81462999999999</v>
      </c>
      <c r="M74" t="s">
        <v>753</v>
      </c>
      <c r="N74" s="2">
        <v>45621</v>
      </c>
    </row>
    <row r="75" spans="1:14" x14ac:dyDescent="0.45">
      <c r="A75" s="15" t="s">
        <v>225</v>
      </c>
      <c r="B75" t="s">
        <v>327</v>
      </c>
      <c r="C75">
        <v>0</v>
      </c>
      <c r="D75" t="s">
        <v>328</v>
      </c>
      <c r="E75" t="s">
        <v>366</v>
      </c>
      <c r="F75">
        <v>1</v>
      </c>
      <c r="G75">
        <v>1</v>
      </c>
      <c r="H75">
        <v>0</v>
      </c>
      <c r="I75">
        <v>17.7</v>
      </c>
      <c r="J75">
        <v>14.71</v>
      </c>
      <c r="K75">
        <v>-38.355800000000002</v>
      </c>
      <c r="L75">
        <v>144.81462999999999</v>
      </c>
      <c r="M75" t="s">
        <v>753</v>
      </c>
      <c r="N75" s="2">
        <v>45621</v>
      </c>
    </row>
    <row r="76" spans="1:14" x14ac:dyDescent="0.45">
      <c r="A76" s="15" t="s">
        <v>251</v>
      </c>
      <c r="B76" t="s">
        <v>327</v>
      </c>
      <c r="C76">
        <v>0</v>
      </c>
      <c r="D76" t="s">
        <v>328</v>
      </c>
      <c r="E76" t="s">
        <v>367</v>
      </c>
      <c r="F76">
        <v>1</v>
      </c>
      <c r="G76">
        <v>1</v>
      </c>
      <c r="H76">
        <v>1</v>
      </c>
      <c r="I76">
        <v>17.7</v>
      </c>
      <c r="J76">
        <v>14.59</v>
      </c>
      <c r="K76">
        <v>-38.355800000000002</v>
      </c>
      <c r="L76">
        <v>144.81462999999999</v>
      </c>
      <c r="M76" t="s">
        <v>753</v>
      </c>
      <c r="N76" s="2">
        <v>45621</v>
      </c>
    </row>
    <row r="77" spans="1:14" x14ac:dyDescent="0.45">
      <c r="A77" s="15" t="s">
        <v>171</v>
      </c>
      <c r="B77" t="s">
        <v>327</v>
      </c>
      <c r="C77">
        <v>0</v>
      </c>
      <c r="D77" t="s">
        <v>328</v>
      </c>
      <c r="E77" t="s">
        <v>366</v>
      </c>
      <c r="F77">
        <v>1</v>
      </c>
      <c r="G77">
        <v>1</v>
      </c>
      <c r="H77">
        <v>0</v>
      </c>
      <c r="I77">
        <v>17.7</v>
      </c>
      <c r="J77">
        <v>14.26</v>
      </c>
      <c r="K77">
        <v>-38.355800000000002</v>
      </c>
      <c r="L77">
        <v>144.81462999999999</v>
      </c>
      <c r="M77" t="s">
        <v>753</v>
      </c>
      <c r="N77" s="2">
        <v>45621</v>
      </c>
    </row>
    <row r="78" spans="1:14" x14ac:dyDescent="0.45">
      <c r="A78" s="15" t="s">
        <v>211</v>
      </c>
      <c r="B78" t="s">
        <v>327</v>
      </c>
      <c r="C78">
        <v>0</v>
      </c>
      <c r="D78" t="s">
        <v>328</v>
      </c>
      <c r="E78" t="s">
        <v>366</v>
      </c>
      <c r="F78">
        <v>1</v>
      </c>
      <c r="G78">
        <v>1</v>
      </c>
      <c r="H78">
        <v>0</v>
      </c>
      <c r="I78">
        <v>17.7</v>
      </c>
      <c r="J78">
        <v>13.99</v>
      </c>
      <c r="K78">
        <v>-38.355800000000002</v>
      </c>
      <c r="L78">
        <v>144.81462999999999</v>
      </c>
      <c r="M78" t="s">
        <v>753</v>
      </c>
      <c r="N78" s="2">
        <v>45621</v>
      </c>
    </row>
    <row r="79" spans="1:14" x14ac:dyDescent="0.45">
      <c r="A79" s="15" t="s">
        <v>311</v>
      </c>
      <c r="B79" t="s">
        <v>327</v>
      </c>
      <c r="C79">
        <v>0</v>
      </c>
      <c r="D79" t="s">
        <v>328</v>
      </c>
      <c r="E79" t="s">
        <v>366</v>
      </c>
      <c r="F79">
        <v>1</v>
      </c>
      <c r="G79">
        <v>1</v>
      </c>
      <c r="H79">
        <v>0</v>
      </c>
      <c r="I79">
        <v>17.7</v>
      </c>
      <c r="J79">
        <v>14.07</v>
      </c>
      <c r="K79">
        <v>-38.355800000000002</v>
      </c>
      <c r="L79">
        <v>144.81462999999999</v>
      </c>
      <c r="M79" t="s">
        <v>753</v>
      </c>
      <c r="N79" s="2">
        <v>45621</v>
      </c>
    </row>
    <row r="80" spans="1:14" x14ac:dyDescent="0.45">
      <c r="A80" s="15" t="s">
        <v>158</v>
      </c>
      <c r="B80" t="s">
        <v>327</v>
      </c>
      <c r="C80">
        <v>0</v>
      </c>
      <c r="D80" t="s">
        <v>328</v>
      </c>
      <c r="E80" t="s">
        <v>369</v>
      </c>
      <c r="F80">
        <v>0</v>
      </c>
      <c r="G80">
        <v>1</v>
      </c>
      <c r="H80">
        <v>1</v>
      </c>
      <c r="I80">
        <v>17.7</v>
      </c>
      <c r="J80">
        <v>13.85</v>
      </c>
      <c r="K80">
        <v>-38.355800000000002</v>
      </c>
      <c r="L80">
        <v>144.81462999999999</v>
      </c>
      <c r="M80" t="s">
        <v>753</v>
      </c>
      <c r="N80" s="2">
        <v>45621</v>
      </c>
    </row>
    <row r="81" spans="1:14" x14ac:dyDescent="0.45">
      <c r="A81" s="15" t="s">
        <v>192</v>
      </c>
      <c r="B81" t="s">
        <v>335</v>
      </c>
      <c r="C81">
        <v>0</v>
      </c>
      <c r="D81" t="s">
        <v>328</v>
      </c>
      <c r="E81" t="s">
        <v>371</v>
      </c>
      <c r="F81">
        <v>0</v>
      </c>
      <c r="G81">
        <v>1</v>
      </c>
      <c r="H81">
        <v>0</v>
      </c>
      <c r="I81">
        <v>17.7</v>
      </c>
      <c r="J81">
        <v>13.9</v>
      </c>
      <c r="K81">
        <v>-38.355800000000002</v>
      </c>
      <c r="L81">
        <v>144.81462999999999</v>
      </c>
      <c r="M81" t="s">
        <v>753</v>
      </c>
      <c r="N81" s="2">
        <v>45621</v>
      </c>
    </row>
    <row r="82" spans="1:14" x14ac:dyDescent="0.45">
      <c r="A82" s="15" t="s">
        <v>161</v>
      </c>
      <c r="B82" t="s">
        <v>327</v>
      </c>
      <c r="C82">
        <v>0</v>
      </c>
      <c r="D82" t="s">
        <v>328</v>
      </c>
      <c r="E82" t="s">
        <v>366</v>
      </c>
      <c r="F82">
        <v>1</v>
      </c>
      <c r="G82">
        <v>1</v>
      </c>
      <c r="H82">
        <v>0</v>
      </c>
      <c r="I82">
        <v>17.7</v>
      </c>
      <c r="J82">
        <v>13.85</v>
      </c>
      <c r="K82">
        <v>-38.355800000000002</v>
      </c>
      <c r="L82">
        <v>144.81462999999999</v>
      </c>
      <c r="M82" t="s">
        <v>753</v>
      </c>
      <c r="N82" s="2">
        <v>45621</v>
      </c>
    </row>
    <row r="83" spans="1:14" x14ac:dyDescent="0.45">
      <c r="A83" t="s">
        <v>265</v>
      </c>
      <c r="B83" t="s">
        <v>327</v>
      </c>
      <c r="C83">
        <v>0</v>
      </c>
      <c r="D83" t="s">
        <v>328</v>
      </c>
      <c r="E83" t="s">
        <v>372</v>
      </c>
      <c r="F83">
        <v>1</v>
      </c>
      <c r="G83">
        <v>1</v>
      </c>
      <c r="H83">
        <v>1</v>
      </c>
      <c r="I83">
        <v>17.7</v>
      </c>
      <c r="J83">
        <v>13.64</v>
      </c>
      <c r="K83">
        <v>-38.355800000000002</v>
      </c>
      <c r="L83">
        <v>144.81462999999999</v>
      </c>
      <c r="M83" t="s">
        <v>753</v>
      </c>
      <c r="N83" s="2">
        <v>45621</v>
      </c>
    </row>
    <row r="84" spans="1:14" x14ac:dyDescent="0.45">
      <c r="A84" s="15" t="s">
        <v>165</v>
      </c>
      <c r="B84" t="s">
        <v>327</v>
      </c>
      <c r="C84">
        <v>0</v>
      </c>
      <c r="D84" t="s">
        <v>328</v>
      </c>
      <c r="E84" t="s">
        <v>366</v>
      </c>
      <c r="F84">
        <v>1</v>
      </c>
      <c r="G84">
        <v>1</v>
      </c>
      <c r="H84">
        <v>0</v>
      </c>
      <c r="I84">
        <v>17.600000000000001</v>
      </c>
      <c r="J84">
        <v>13.76</v>
      </c>
      <c r="K84">
        <v>-38.354810000000001</v>
      </c>
      <c r="L84">
        <v>144.82435000000001</v>
      </c>
      <c r="M84" t="s">
        <v>753</v>
      </c>
      <c r="N84" s="2">
        <v>45621</v>
      </c>
    </row>
    <row r="85" spans="1:14" x14ac:dyDescent="0.45">
      <c r="A85" s="15" t="s">
        <v>215</v>
      </c>
      <c r="B85" t="s">
        <v>335</v>
      </c>
      <c r="C85">
        <v>0</v>
      </c>
      <c r="D85" t="s">
        <v>328</v>
      </c>
      <c r="E85" t="s">
        <v>371</v>
      </c>
      <c r="F85">
        <v>0</v>
      </c>
      <c r="G85">
        <v>1</v>
      </c>
      <c r="H85">
        <v>0</v>
      </c>
      <c r="I85">
        <v>17.600000000000001</v>
      </c>
      <c r="J85">
        <v>14.35</v>
      </c>
      <c r="K85">
        <v>-38.354590000000002</v>
      </c>
      <c r="L85">
        <v>144.82216</v>
      </c>
      <c r="M85" t="s">
        <v>753</v>
      </c>
      <c r="N85" s="2">
        <v>45621</v>
      </c>
    </row>
    <row r="86" spans="1:14" x14ac:dyDescent="0.45">
      <c r="A86" s="15" t="s">
        <v>186</v>
      </c>
      <c r="B86" t="s">
        <v>327</v>
      </c>
      <c r="C86">
        <v>0</v>
      </c>
      <c r="D86" t="s">
        <v>328</v>
      </c>
      <c r="E86" t="s">
        <v>374</v>
      </c>
      <c r="F86">
        <v>1</v>
      </c>
      <c r="G86">
        <v>1</v>
      </c>
      <c r="H86">
        <v>1</v>
      </c>
      <c r="I86">
        <v>17.600000000000001</v>
      </c>
      <c r="J86">
        <v>14.11</v>
      </c>
      <c r="K86">
        <v>-38.354590000000002</v>
      </c>
      <c r="L86">
        <v>144.82216</v>
      </c>
      <c r="M86" t="s">
        <v>753</v>
      </c>
      <c r="N86" s="2">
        <v>45621</v>
      </c>
    </row>
    <row r="87" spans="1:14" x14ac:dyDescent="0.45">
      <c r="A87" s="15" t="s">
        <v>235</v>
      </c>
      <c r="B87" t="s">
        <v>327</v>
      </c>
      <c r="C87">
        <v>0</v>
      </c>
      <c r="D87" t="s">
        <v>328</v>
      </c>
      <c r="E87" t="s">
        <v>366</v>
      </c>
      <c r="F87">
        <v>1</v>
      </c>
      <c r="G87">
        <v>1</v>
      </c>
      <c r="H87">
        <v>0</v>
      </c>
      <c r="I87">
        <v>17.600000000000001</v>
      </c>
      <c r="J87">
        <v>14.09</v>
      </c>
      <c r="K87">
        <v>-38.354590000000002</v>
      </c>
      <c r="L87">
        <v>144.82216</v>
      </c>
      <c r="M87" t="s">
        <v>753</v>
      </c>
      <c r="N87" s="2">
        <v>45621</v>
      </c>
    </row>
    <row r="88" spans="1:14" x14ac:dyDescent="0.45">
      <c r="A88" s="15" t="s">
        <v>170</v>
      </c>
      <c r="B88" t="s">
        <v>327</v>
      </c>
      <c r="C88">
        <v>0</v>
      </c>
      <c r="D88" t="s">
        <v>328</v>
      </c>
      <c r="E88" t="s">
        <v>375</v>
      </c>
      <c r="F88">
        <v>1</v>
      </c>
      <c r="G88">
        <v>1</v>
      </c>
      <c r="H88">
        <v>0</v>
      </c>
      <c r="I88">
        <v>17.600000000000001</v>
      </c>
      <c r="J88">
        <v>14.21</v>
      </c>
      <c r="K88">
        <v>-38.354590000000002</v>
      </c>
      <c r="L88">
        <v>144.82216</v>
      </c>
      <c r="M88" t="s">
        <v>753</v>
      </c>
      <c r="N88" s="2">
        <v>45621</v>
      </c>
    </row>
    <row r="89" spans="1:14" x14ac:dyDescent="0.45">
      <c r="A89" s="15" t="s">
        <v>198</v>
      </c>
      <c r="B89" t="s">
        <v>327</v>
      </c>
      <c r="C89">
        <v>0</v>
      </c>
      <c r="D89" t="s">
        <v>328</v>
      </c>
      <c r="E89" t="s">
        <v>376</v>
      </c>
      <c r="F89">
        <v>1</v>
      </c>
      <c r="G89">
        <v>1</v>
      </c>
      <c r="H89">
        <v>0</v>
      </c>
      <c r="I89">
        <v>17.7</v>
      </c>
      <c r="J89">
        <v>14.54</v>
      </c>
      <c r="K89">
        <v>-38.354590000000002</v>
      </c>
      <c r="L89">
        <v>144.82216</v>
      </c>
      <c r="M89" t="s">
        <v>753</v>
      </c>
      <c r="N89" s="2">
        <v>45621</v>
      </c>
    </row>
    <row r="90" spans="1:14" x14ac:dyDescent="0.45">
      <c r="A90" s="15" t="s">
        <v>169</v>
      </c>
      <c r="B90" t="s">
        <v>327</v>
      </c>
      <c r="C90">
        <v>0</v>
      </c>
      <c r="D90" t="s">
        <v>328</v>
      </c>
      <c r="E90" t="s">
        <v>376</v>
      </c>
      <c r="F90">
        <v>1</v>
      </c>
      <c r="G90">
        <v>1</v>
      </c>
      <c r="H90">
        <v>0</v>
      </c>
      <c r="I90">
        <v>17.7</v>
      </c>
      <c r="J90">
        <v>14.56</v>
      </c>
      <c r="K90">
        <v>-38.354590000000002</v>
      </c>
      <c r="L90">
        <v>144.82216</v>
      </c>
      <c r="M90" t="s">
        <v>753</v>
      </c>
      <c r="N90" s="2">
        <v>45621</v>
      </c>
    </row>
    <row r="91" spans="1:14" x14ac:dyDescent="0.45">
      <c r="A91" t="s">
        <v>269</v>
      </c>
      <c r="B91" t="s">
        <v>327</v>
      </c>
      <c r="C91">
        <v>0</v>
      </c>
      <c r="D91" t="s">
        <v>328</v>
      </c>
      <c r="E91" t="s">
        <v>376</v>
      </c>
      <c r="F91">
        <v>1</v>
      </c>
      <c r="G91">
        <v>1</v>
      </c>
      <c r="H91">
        <v>0</v>
      </c>
      <c r="I91">
        <v>17.7</v>
      </c>
      <c r="J91">
        <v>14.52</v>
      </c>
      <c r="K91">
        <v>-38.354590000000002</v>
      </c>
      <c r="L91">
        <v>144.82216</v>
      </c>
      <c r="M91" t="s">
        <v>753</v>
      </c>
      <c r="N91" s="2">
        <v>45621</v>
      </c>
    </row>
    <row r="92" spans="1:14" x14ac:dyDescent="0.45">
      <c r="A92" t="s">
        <v>250</v>
      </c>
      <c r="B92" t="s">
        <v>327</v>
      </c>
      <c r="C92">
        <v>0</v>
      </c>
      <c r="D92" t="s">
        <v>328</v>
      </c>
      <c r="E92" t="s">
        <v>375</v>
      </c>
      <c r="F92">
        <v>1</v>
      </c>
      <c r="G92">
        <v>1</v>
      </c>
      <c r="H92">
        <v>0</v>
      </c>
      <c r="I92">
        <v>17.7</v>
      </c>
      <c r="J92">
        <v>14.23</v>
      </c>
      <c r="K92">
        <v>-38.351019999999998</v>
      </c>
      <c r="L92">
        <v>144.81609</v>
      </c>
      <c r="M92" t="s">
        <v>753</v>
      </c>
      <c r="N92" s="2">
        <v>45621</v>
      </c>
    </row>
    <row r="93" spans="1:14" x14ac:dyDescent="0.45">
      <c r="A93" t="s">
        <v>255</v>
      </c>
      <c r="B93" t="s">
        <v>327</v>
      </c>
      <c r="C93">
        <v>0</v>
      </c>
      <c r="D93" t="s">
        <v>328</v>
      </c>
      <c r="E93" t="s">
        <v>375</v>
      </c>
      <c r="F93">
        <v>1</v>
      </c>
      <c r="G93">
        <v>1</v>
      </c>
      <c r="H93">
        <v>0</v>
      </c>
      <c r="I93">
        <v>17.600000000000001</v>
      </c>
      <c r="J93">
        <v>14.09</v>
      </c>
      <c r="K93">
        <v>-38.351230000000001</v>
      </c>
      <c r="L93">
        <v>144.81729999999999</v>
      </c>
      <c r="M93" t="s">
        <v>753</v>
      </c>
      <c r="N93" s="2">
        <v>45621</v>
      </c>
    </row>
    <row r="94" spans="1:14" x14ac:dyDescent="0.45">
      <c r="A94" t="s">
        <v>299</v>
      </c>
      <c r="B94" t="s">
        <v>327</v>
      </c>
      <c r="C94">
        <v>0</v>
      </c>
      <c r="D94" t="s">
        <v>328</v>
      </c>
      <c r="E94" t="s">
        <v>375</v>
      </c>
      <c r="F94">
        <v>1</v>
      </c>
      <c r="G94">
        <v>1</v>
      </c>
      <c r="H94">
        <v>0</v>
      </c>
      <c r="I94">
        <v>17.600000000000001</v>
      </c>
      <c r="J94">
        <v>14.11</v>
      </c>
      <c r="K94">
        <v>-38.351430000000001</v>
      </c>
      <c r="L94">
        <v>144.81844000000001</v>
      </c>
      <c r="M94" t="s">
        <v>753</v>
      </c>
      <c r="N94" s="2">
        <v>45621</v>
      </c>
    </row>
    <row r="95" spans="1:14" x14ac:dyDescent="0.45">
      <c r="A95" t="s">
        <v>278</v>
      </c>
      <c r="B95" t="s">
        <v>327</v>
      </c>
      <c r="C95">
        <v>0</v>
      </c>
      <c r="D95" t="s">
        <v>328</v>
      </c>
      <c r="E95" t="s">
        <v>382</v>
      </c>
      <c r="F95">
        <v>0</v>
      </c>
      <c r="G95">
        <v>1</v>
      </c>
      <c r="H95">
        <v>0</v>
      </c>
      <c r="I95">
        <v>17.600000000000001</v>
      </c>
      <c r="J95">
        <v>13.73</v>
      </c>
      <c r="K95">
        <v>-38.351550000000003</v>
      </c>
      <c r="L95">
        <v>144.81958</v>
      </c>
      <c r="M95" t="s">
        <v>753</v>
      </c>
      <c r="N95" s="2">
        <v>45621</v>
      </c>
    </row>
    <row r="96" spans="1:14" x14ac:dyDescent="0.45">
      <c r="A96" t="s">
        <v>282</v>
      </c>
      <c r="B96" t="s">
        <v>327</v>
      </c>
      <c r="C96">
        <v>0</v>
      </c>
      <c r="D96" t="s">
        <v>328</v>
      </c>
      <c r="E96" t="s">
        <v>386</v>
      </c>
      <c r="F96">
        <v>1</v>
      </c>
      <c r="G96">
        <v>1</v>
      </c>
      <c r="H96">
        <v>1</v>
      </c>
      <c r="I96">
        <v>17.600000000000001</v>
      </c>
      <c r="J96">
        <v>13.62</v>
      </c>
      <c r="K96">
        <v>-38.351770000000002</v>
      </c>
      <c r="L96">
        <v>144.82062999999999</v>
      </c>
      <c r="M96" t="s">
        <v>753</v>
      </c>
      <c r="N96" s="2">
        <v>45621</v>
      </c>
    </row>
    <row r="97" spans="1:14" x14ac:dyDescent="0.45">
      <c r="A97" t="s">
        <v>387</v>
      </c>
      <c r="B97" t="s">
        <v>327</v>
      </c>
      <c r="C97">
        <v>0</v>
      </c>
      <c r="D97" t="s">
        <v>328</v>
      </c>
      <c r="E97" t="s">
        <v>375</v>
      </c>
      <c r="F97">
        <v>1</v>
      </c>
      <c r="G97">
        <v>1</v>
      </c>
      <c r="H97">
        <v>0</v>
      </c>
      <c r="I97">
        <v>17.600000000000001</v>
      </c>
      <c r="J97">
        <v>13.59</v>
      </c>
      <c r="K97">
        <v>-38.351930000000003</v>
      </c>
      <c r="L97">
        <v>144.82181</v>
      </c>
      <c r="M97" t="s">
        <v>753</v>
      </c>
      <c r="N97" s="2">
        <v>45621</v>
      </c>
    </row>
    <row r="98" spans="1:14" x14ac:dyDescent="0.45">
      <c r="A98" s="15" t="s">
        <v>184</v>
      </c>
      <c r="B98" t="s">
        <v>327</v>
      </c>
      <c r="C98">
        <v>0</v>
      </c>
      <c r="D98" t="s">
        <v>328</v>
      </c>
      <c r="E98" t="s">
        <v>375</v>
      </c>
      <c r="F98">
        <v>1</v>
      </c>
      <c r="G98">
        <v>1</v>
      </c>
      <c r="H98">
        <v>0</v>
      </c>
      <c r="I98">
        <v>17.600000000000001</v>
      </c>
      <c r="J98">
        <v>13.24</v>
      </c>
      <c r="K98">
        <v>-38.352089999999997</v>
      </c>
      <c r="L98">
        <v>144.82286999999999</v>
      </c>
      <c r="M98" t="s">
        <v>753</v>
      </c>
      <c r="N98" s="2">
        <v>45621</v>
      </c>
    </row>
    <row r="99" spans="1:14" x14ac:dyDescent="0.45">
      <c r="A99" t="s">
        <v>240</v>
      </c>
      <c r="B99" t="s">
        <v>327</v>
      </c>
      <c r="C99">
        <v>0</v>
      </c>
      <c r="D99" t="s">
        <v>328</v>
      </c>
      <c r="E99" t="s">
        <v>375</v>
      </c>
      <c r="F99">
        <v>1</v>
      </c>
      <c r="G99">
        <v>1</v>
      </c>
      <c r="H99">
        <v>0</v>
      </c>
      <c r="I99">
        <v>17.5</v>
      </c>
      <c r="J99">
        <v>13.12</v>
      </c>
      <c r="K99">
        <v>-38.352260000000001</v>
      </c>
      <c r="L99">
        <v>144.82405</v>
      </c>
      <c r="M99" t="s">
        <v>753</v>
      </c>
      <c r="N99" s="2">
        <v>45621</v>
      </c>
    </row>
    <row r="100" spans="1:14" x14ac:dyDescent="0.45">
      <c r="A100" t="s">
        <v>188</v>
      </c>
      <c r="B100" t="s">
        <v>327</v>
      </c>
      <c r="C100">
        <v>0</v>
      </c>
      <c r="D100" t="s">
        <v>328</v>
      </c>
      <c r="E100" t="s">
        <v>375</v>
      </c>
      <c r="F100">
        <v>1</v>
      </c>
      <c r="G100">
        <v>1</v>
      </c>
      <c r="H100">
        <v>0</v>
      </c>
      <c r="I100">
        <v>17.5</v>
      </c>
      <c r="J100">
        <v>13.62</v>
      </c>
      <c r="K100">
        <v>-38.35239</v>
      </c>
      <c r="L100">
        <v>144.82513</v>
      </c>
      <c r="M100" t="s">
        <v>753</v>
      </c>
      <c r="N100" s="2">
        <v>45621</v>
      </c>
    </row>
    <row r="101" spans="1:14" x14ac:dyDescent="0.45">
      <c r="A101" t="s">
        <v>281</v>
      </c>
      <c r="B101" t="s">
        <v>327</v>
      </c>
      <c r="C101">
        <v>0</v>
      </c>
      <c r="D101" t="s">
        <v>328</v>
      </c>
      <c r="E101" t="s">
        <v>376</v>
      </c>
      <c r="F101">
        <v>1</v>
      </c>
      <c r="G101">
        <v>1</v>
      </c>
      <c r="H101">
        <v>0</v>
      </c>
      <c r="I101">
        <v>17.5</v>
      </c>
      <c r="J101">
        <v>12.74</v>
      </c>
      <c r="K101">
        <v>-38.35239</v>
      </c>
      <c r="L101">
        <v>144.82626999999999</v>
      </c>
      <c r="M101" t="s">
        <v>753</v>
      </c>
      <c r="N101" s="2">
        <v>45621</v>
      </c>
    </row>
    <row r="102" spans="1:14" x14ac:dyDescent="0.45">
      <c r="A102" t="s">
        <v>310</v>
      </c>
      <c r="B102" t="s">
        <v>327</v>
      </c>
      <c r="C102">
        <v>0</v>
      </c>
      <c r="D102" t="s">
        <v>332</v>
      </c>
      <c r="E102" t="s">
        <v>333</v>
      </c>
      <c r="F102">
        <v>0</v>
      </c>
      <c r="G102">
        <v>1</v>
      </c>
      <c r="H102">
        <v>0</v>
      </c>
      <c r="I102">
        <v>19.89</v>
      </c>
      <c r="J102">
        <v>4.46</v>
      </c>
      <c r="K102">
        <v>-37.86016</v>
      </c>
      <c r="L102">
        <v>144.95410000000001</v>
      </c>
      <c r="M102" t="s">
        <v>754</v>
      </c>
      <c r="N102" s="2">
        <v>45622</v>
      </c>
    </row>
    <row r="103" spans="1:14" x14ac:dyDescent="0.45">
      <c r="A103" s="15" t="s">
        <v>247</v>
      </c>
      <c r="B103" t="s">
        <v>327</v>
      </c>
      <c r="C103">
        <v>0</v>
      </c>
      <c r="D103" t="s">
        <v>332</v>
      </c>
      <c r="E103" t="s">
        <v>338</v>
      </c>
      <c r="F103">
        <v>0</v>
      </c>
      <c r="G103">
        <v>1</v>
      </c>
      <c r="H103">
        <v>0</v>
      </c>
      <c r="I103">
        <v>19.920000000000002</v>
      </c>
      <c r="J103">
        <v>4.53</v>
      </c>
      <c r="K103">
        <v>-37.861330000000002</v>
      </c>
      <c r="L103">
        <v>144.9545</v>
      </c>
      <c r="M103" t="s">
        <v>754</v>
      </c>
      <c r="N103" s="2">
        <v>45622</v>
      </c>
    </row>
    <row r="104" spans="1:14" x14ac:dyDescent="0.45">
      <c r="A104" t="s">
        <v>267</v>
      </c>
      <c r="B104" t="s">
        <v>327</v>
      </c>
      <c r="C104">
        <v>0</v>
      </c>
      <c r="D104" t="s">
        <v>332</v>
      </c>
      <c r="E104" t="s">
        <v>338</v>
      </c>
      <c r="F104">
        <v>0</v>
      </c>
      <c r="G104">
        <v>1</v>
      </c>
      <c r="H104">
        <v>0</v>
      </c>
      <c r="I104">
        <v>19.940000000000001</v>
      </c>
      <c r="J104">
        <v>4.58</v>
      </c>
      <c r="K104">
        <v>-37.862000000000002</v>
      </c>
      <c r="L104">
        <v>144.95500999999999</v>
      </c>
      <c r="M104" t="s">
        <v>754</v>
      </c>
      <c r="N104" s="2">
        <v>45622</v>
      </c>
    </row>
    <row r="105" spans="1:14" x14ac:dyDescent="0.45">
      <c r="A105" t="s">
        <v>172</v>
      </c>
      <c r="B105" t="s">
        <v>327</v>
      </c>
      <c r="C105">
        <v>0</v>
      </c>
      <c r="D105" t="s">
        <v>332</v>
      </c>
      <c r="E105" t="s">
        <v>338</v>
      </c>
      <c r="F105">
        <v>0</v>
      </c>
      <c r="G105">
        <v>1</v>
      </c>
      <c r="H105">
        <v>0</v>
      </c>
      <c r="I105">
        <v>19.95</v>
      </c>
      <c r="J105">
        <v>4.5999999999999996</v>
      </c>
      <c r="K105">
        <v>-37.863</v>
      </c>
      <c r="L105">
        <v>144.95535000000001</v>
      </c>
      <c r="M105" t="s">
        <v>754</v>
      </c>
      <c r="N105" s="2">
        <v>45622</v>
      </c>
    </row>
    <row r="106" spans="1:14" x14ac:dyDescent="0.45">
      <c r="A106" t="s">
        <v>242</v>
      </c>
      <c r="B106" t="s">
        <v>327</v>
      </c>
      <c r="C106">
        <v>0</v>
      </c>
      <c r="D106" t="s">
        <v>332</v>
      </c>
      <c r="E106" t="s">
        <v>338</v>
      </c>
      <c r="F106">
        <v>0</v>
      </c>
      <c r="G106">
        <v>1</v>
      </c>
      <c r="H106">
        <v>0</v>
      </c>
      <c r="I106">
        <v>19.97</v>
      </c>
      <c r="J106">
        <v>4.63</v>
      </c>
      <c r="K106">
        <v>-37.863779999999998</v>
      </c>
      <c r="L106">
        <v>144.95563999999999</v>
      </c>
      <c r="M106" t="s">
        <v>754</v>
      </c>
      <c r="N106" s="2">
        <v>45622</v>
      </c>
    </row>
    <row r="107" spans="1:14" x14ac:dyDescent="0.45">
      <c r="A107" t="s">
        <v>293</v>
      </c>
      <c r="B107" t="s">
        <v>327</v>
      </c>
      <c r="C107">
        <v>0</v>
      </c>
      <c r="D107" t="s">
        <v>332</v>
      </c>
      <c r="E107" t="s">
        <v>338</v>
      </c>
      <c r="F107">
        <v>0</v>
      </c>
      <c r="G107">
        <v>1</v>
      </c>
      <c r="H107">
        <v>0</v>
      </c>
      <c r="I107">
        <v>19.95</v>
      </c>
      <c r="J107">
        <v>4.74</v>
      </c>
      <c r="K107">
        <v>-37.864640000000001</v>
      </c>
      <c r="L107">
        <v>144.95606000000001</v>
      </c>
      <c r="M107" t="s">
        <v>754</v>
      </c>
      <c r="N107" s="2">
        <v>45622</v>
      </c>
    </row>
    <row r="108" spans="1:14" x14ac:dyDescent="0.45">
      <c r="A108" t="s">
        <v>263</v>
      </c>
      <c r="B108" t="s">
        <v>327</v>
      </c>
      <c r="C108">
        <v>0</v>
      </c>
      <c r="D108" t="s">
        <v>332</v>
      </c>
      <c r="E108" t="s">
        <v>338</v>
      </c>
      <c r="F108">
        <v>0</v>
      </c>
      <c r="G108">
        <v>1</v>
      </c>
      <c r="H108">
        <v>0</v>
      </c>
      <c r="I108">
        <v>20.02</v>
      </c>
      <c r="J108">
        <v>4.7</v>
      </c>
      <c r="K108">
        <v>-37.865479999999998</v>
      </c>
      <c r="L108">
        <v>144.95643000000001</v>
      </c>
      <c r="M108" t="s">
        <v>754</v>
      </c>
      <c r="N108" s="2">
        <v>45622</v>
      </c>
    </row>
    <row r="109" spans="1:14" x14ac:dyDescent="0.45">
      <c r="A109" t="s">
        <v>163</v>
      </c>
      <c r="B109" t="s">
        <v>327</v>
      </c>
      <c r="C109">
        <v>0</v>
      </c>
      <c r="D109" t="s">
        <v>332</v>
      </c>
      <c r="E109" t="s">
        <v>346</v>
      </c>
      <c r="F109">
        <v>0</v>
      </c>
      <c r="G109">
        <v>1</v>
      </c>
      <c r="H109">
        <v>1</v>
      </c>
      <c r="I109">
        <v>20.07</v>
      </c>
      <c r="J109">
        <v>4.82</v>
      </c>
      <c r="K109">
        <v>-37.866320000000002</v>
      </c>
      <c r="L109">
        <v>144.95676</v>
      </c>
      <c r="M109" t="s">
        <v>754</v>
      </c>
      <c r="N109" s="2">
        <v>45622</v>
      </c>
    </row>
    <row r="110" spans="1:14" x14ac:dyDescent="0.45">
      <c r="A110" s="15" t="s">
        <v>236</v>
      </c>
      <c r="B110" t="s">
        <v>327</v>
      </c>
      <c r="C110">
        <v>0</v>
      </c>
      <c r="D110" t="s">
        <v>332</v>
      </c>
      <c r="E110" t="s">
        <v>338</v>
      </c>
      <c r="F110">
        <v>0</v>
      </c>
      <c r="G110">
        <v>1</v>
      </c>
      <c r="H110">
        <v>0</v>
      </c>
      <c r="I110">
        <v>20.07</v>
      </c>
      <c r="J110">
        <v>4.7699999999999996</v>
      </c>
      <c r="K110">
        <v>-37.867130000000003</v>
      </c>
      <c r="L110">
        <v>144.9572</v>
      </c>
      <c r="M110" t="s">
        <v>754</v>
      </c>
      <c r="N110" s="2">
        <v>45622</v>
      </c>
    </row>
    <row r="111" spans="1:14" x14ac:dyDescent="0.45">
      <c r="A111" t="s">
        <v>209</v>
      </c>
      <c r="B111" t="s">
        <v>327</v>
      </c>
      <c r="C111">
        <v>0</v>
      </c>
      <c r="D111" t="s">
        <v>332</v>
      </c>
      <c r="E111" t="s">
        <v>338</v>
      </c>
      <c r="F111">
        <v>0</v>
      </c>
      <c r="G111">
        <v>1</v>
      </c>
      <c r="H111">
        <v>0</v>
      </c>
      <c r="I111">
        <v>19.98</v>
      </c>
      <c r="J111">
        <v>4.7</v>
      </c>
      <c r="K111">
        <v>-37.868009999999998</v>
      </c>
      <c r="L111">
        <v>144.95741000000001</v>
      </c>
      <c r="M111" t="s">
        <v>754</v>
      </c>
      <c r="N111" s="2">
        <v>45622</v>
      </c>
    </row>
    <row r="112" spans="1:14" x14ac:dyDescent="0.45">
      <c r="A112" t="s">
        <v>264</v>
      </c>
      <c r="B112" t="s">
        <v>327</v>
      </c>
      <c r="C112">
        <v>0</v>
      </c>
      <c r="D112" t="s">
        <v>332</v>
      </c>
      <c r="E112" t="s">
        <v>346</v>
      </c>
      <c r="F112">
        <v>0</v>
      </c>
      <c r="G112">
        <v>1</v>
      </c>
      <c r="H112">
        <v>1</v>
      </c>
      <c r="I112">
        <v>19.68</v>
      </c>
      <c r="J112">
        <v>5.0999999999999996</v>
      </c>
      <c r="K112">
        <v>-37.868470000000002</v>
      </c>
      <c r="L112">
        <v>144.95455000000001</v>
      </c>
      <c r="M112" t="s">
        <v>754</v>
      </c>
      <c r="N112" s="2">
        <v>45622</v>
      </c>
    </row>
    <row r="113" spans="1:14" x14ac:dyDescent="0.45">
      <c r="A113" t="s">
        <v>272</v>
      </c>
      <c r="B113" t="s">
        <v>327</v>
      </c>
      <c r="C113">
        <v>0</v>
      </c>
      <c r="D113" t="s">
        <v>332</v>
      </c>
      <c r="E113" t="s">
        <v>338</v>
      </c>
      <c r="F113">
        <v>0</v>
      </c>
      <c r="G113">
        <v>1</v>
      </c>
      <c r="H113">
        <v>0</v>
      </c>
      <c r="I113">
        <v>19.71</v>
      </c>
      <c r="J113" t="s">
        <v>352</v>
      </c>
      <c r="K113">
        <v>-37.867609999999999</v>
      </c>
      <c r="L113">
        <v>144.95424</v>
      </c>
      <c r="M113" t="s">
        <v>754</v>
      </c>
      <c r="N113" s="2">
        <v>45622</v>
      </c>
    </row>
    <row r="114" spans="1:14" x14ac:dyDescent="0.45">
      <c r="A114" t="s">
        <v>268</v>
      </c>
      <c r="B114" t="s">
        <v>327</v>
      </c>
      <c r="C114">
        <v>0</v>
      </c>
      <c r="D114" t="s">
        <v>332</v>
      </c>
      <c r="E114" t="s">
        <v>338</v>
      </c>
      <c r="F114">
        <v>0</v>
      </c>
      <c r="G114">
        <v>0</v>
      </c>
      <c r="H114">
        <v>0</v>
      </c>
      <c r="I114">
        <v>19.75</v>
      </c>
      <c r="J114" t="s">
        <v>352</v>
      </c>
      <c r="K114">
        <v>-37.866810000000001</v>
      </c>
      <c r="L114">
        <v>144.95381</v>
      </c>
      <c r="M114" t="s">
        <v>754</v>
      </c>
      <c r="N114" s="2">
        <v>45622</v>
      </c>
    </row>
    <row r="115" spans="1:14" x14ac:dyDescent="0.45">
      <c r="A115" t="s">
        <v>274</v>
      </c>
      <c r="B115" t="s">
        <v>327</v>
      </c>
      <c r="C115">
        <v>0</v>
      </c>
      <c r="D115" t="s">
        <v>332</v>
      </c>
      <c r="E115" t="s">
        <v>338</v>
      </c>
      <c r="F115">
        <v>0</v>
      </c>
      <c r="G115">
        <v>1</v>
      </c>
      <c r="H115">
        <v>0</v>
      </c>
      <c r="I115">
        <v>19.73</v>
      </c>
      <c r="J115">
        <v>4.91</v>
      </c>
      <c r="K115">
        <v>-37.865940000000002</v>
      </c>
      <c r="L115">
        <v>144.95350999999999</v>
      </c>
      <c r="M115" t="s">
        <v>754</v>
      </c>
      <c r="N115" s="2">
        <v>45622</v>
      </c>
    </row>
    <row r="116" spans="1:14" x14ac:dyDescent="0.45">
      <c r="A116" t="s">
        <v>183</v>
      </c>
      <c r="B116" t="s">
        <v>327</v>
      </c>
      <c r="C116">
        <v>0</v>
      </c>
      <c r="D116" t="s">
        <v>332</v>
      </c>
      <c r="E116" t="s">
        <v>346</v>
      </c>
      <c r="F116">
        <v>0</v>
      </c>
      <c r="G116">
        <v>1</v>
      </c>
      <c r="H116">
        <v>1</v>
      </c>
      <c r="I116">
        <v>19.73</v>
      </c>
      <c r="J116">
        <v>4.84</v>
      </c>
      <c r="K116">
        <v>-37.865130000000001</v>
      </c>
      <c r="L116">
        <v>144.95314999999999</v>
      </c>
      <c r="M116" t="s">
        <v>754</v>
      </c>
      <c r="N116" s="2">
        <v>45622</v>
      </c>
    </row>
    <row r="117" spans="1:14" x14ac:dyDescent="0.45">
      <c r="A117" s="15" t="s">
        <v>217</v>
      </c>
      <c r="B117" t="s">
        <v>327</v>
      </c>
      <c r="C117">
        <v>0</v>
      </c>
      <c r="D117" t="s">
        <v>332</v>
      </c>
      <c r="E117" t="s">
        <v>338</v>
      </c>
      <c r="F117">
        <v>0</v>
      </c>
      <c r="G117">
        <v>1</v>
      </c>
      <c r="H117">
        <v>0</v>
      </c>
      <c r="I117">
        <v>19.73</v>
      </c>
      <c r="J117">
        <v>4.79</v>
      </c>
      <c r="K117">
        <v>-37.864319999999999</v>
      </c>
      <c r="L117">
        <v>144.95275000000001</v>
      </c>
      <c r="M117" t="s">
        <v>754</v>
      </c>
      <c r="N117" s="2">
        <v>45622</v>
      </c>
    </row>
    <row r="118" spans="1:14" x14ac:dyDescent="0.45">
      <c r="A118" t="s">
        <v>167</v>
      </c>
      <c r="B118" t="s">
        <v>327</v>
      </c>
      <c r="C118">
        <v>0</v>
      </c>
      <c r="D118" t="s">
        <v>332</v>
      </c>
      <c r="E118" t="s">
        <v>357</v>
      </c>
      <c r="F118">
        <v>0</v>
      </c>
      <c r="G118">
        <v>1</v>
      </c>
      <c r="H118">
        <v>0</v>
      </c>
      <c r="I118">
        <v>19.73</v>
      </c>
      <c r="J118">
        <v>4.72</v>
      </c>
      <c r="K118">
        <v>-37.86345</v>
      </c>
      <c r="L118">
        <v>144.95237</v>
      </c>
      <c r="M118" t="s">
        <v>754</v>
      </c>
      <c r="N118" s="2">
        <v>45622</v>
      </c>
    </row>
    <row r="119" spans="1:14" x14ac:dyDescent="0.45">
      <c r="A119" t="s">
        <v>298</v>
      </c>
      <c r="B119" s="16" t="s">
        <v>359</v>
      </c>
      <c r="C119">
        <v>1</v>
      </c>
      <c r="D119" t="s">
        <v>332</v>
      </c>
      <c r="E119" t="s">
        <v>360</v>
      </c>
      <c r="F119">
        <v>0</v>
      </c>
      <c r="G119">
        <v>1</v>
      </c>
      <c r="H119">
        <v>0</v>
      </c>
      <c r="I119">
        <v>19.739999999999998</v>
      </c>
      <c r="J119">
        <v>4.63</v>
      </c>
      <c r="K119">
        <v>-37.8626</v>
      </c>
      <c r="L119">
        <v>144.95197999999999</v>
      </c>
      <c r="M119" t="s">
        <v>754</v>
      </c>
      <c r="N119" s="2">
        <v>45622</v>
      </c>
    </row>
    <row r="120" spans="1:14" x14ac:dyDescent="0.45">
      <c r="A120" t="s">
        <v>262</v>
      </c>
      <c r="B120" t="s">
        <v>327</v>
      </c>
      <c r="C120">
        <v>0</v>
      </c>
      <c r="D120" t="s">
        <v>332</v>
      </c>
      <c r="E120" t="s">
        <v>338</v>
      </c>
      <c r="F120">
        <v>0</v>
      </c>
      <c r="G120">
        <v>1</v>
      </c>
      <c r="H120">
        <v>0</v>
      </c>
      <c r="I120">
        <v>19.760000000000002</v>
      </c>
      <c r="J120" t="s">
        <v>352</v>
      </c>
      <c r="K120">
        <v>-37.861690000000003</v>
      </c>
      <c r="L120">
        <v>144.95161999999999</v>
      </c>
      <c r="M120" t="s">
        <v>754</v>
      </c>
      <c r="N120" s="2">
        <v>45622</v>
      </c>
    </row>
    <row r="121" spans="1:14" x14ac:dyDescent="0.45">
      <c r="A121" s="15" t="s">
        <v>226</v>
      </c>
      <c r="B121" t="s">
        <v>327</v>
      </c>
      <c r="C121">
        <v>0</v>
      </c>
      <c r="D121" t="s">
        <v>332</v>
      </c>
      <c r="E121" t="s">
        <v>338</v>
      </c>
      <c r="F121">
        <v>0</v>
      </c>
      <c r="G121">
        <v>1</v>
      </c>
      <c r="H121">
        <v>0</v>
      </c>
      <c r="I121">
        <v>19.78</v>
      </c>
      <c r="J121">
        <v>4.4400000000000004</v>
      </c>
      <c r="K121">
        <v>-37.860880000000002</v>
      </c>
      <c r="L121">
        <v>144.95122000000001</v>
      </c>
      <c r="M121" t="s">
        <v>754</v>
      </c>
      <c r="N121" s="2">
        <v>45622</v>
      </c>
    </row>
    <row r="122" spans="1:14" x14ac:dyDescent="0.45">
      <c r="A122" t="s">
        <v>162</v>
      </c>
      <c r="B122" s="16" t="s">
        <v>359</v>
      </c>
      <c r="C122">
        <v>1</v>
      </c>
      <c r="D122" t="s">
        <v>332</v>
      </c>
      <c r="E122" t="s">
        <v>364</v>
      </c>
      <c r="F122">
        <v>0</v>
      </c>
      <c r="G122">
        <v>1</v>
      </c>
      <c r="H122">
        <v>0</v>
      </c>
      <c r="I122">
        <v>19.75</v>
      </c>
      <c r="J122">
        <v>4.63</v>
      </c>
      <c r="K122">
        <v>-37.861359999999998</v>
      </c>
      <c r="L122">
        <v>144.94844000000001</v>
      </c>
      <c r="M122" t="s">
        <v>754</v>
      </c>
      <c r="N122" s="2">
        <v>45622</v>
      </c>
    </row>
    <row r="123" spans="1:14" x14ac:dyDescent="0.45">
      <c r="A123" t="s">
        <v>295</v>
      </c>
      <c r="B123" t="s">
        <v>327</v>
      </c>
      <c r="C123">
        <v>0</v>
      </c>
      <c r="D123" t="s">
        <v>332</v>
      </c>
      <c r="E123" t="s">
        <v>338</v>
      </c>
      <c r="F123">
        <v>0</v>
      </c>
      <c r="G123">
        <v>1</v>
      </c>
      <c r="H123">
        <v>0</v>
      </c>
      <c r="I123">
        <v>19.71</v>
      </c>
      <c r="J123">
        <v>4.72</v>
      </c>
      <c r="K123">
        <v>-37.862229999999997</v>
      </c>
      <c r="L123">
        <v>144.94884999999999</v>
      </c>
      <c r="M123" t="s">
        <v>754</v>
      </c>
      <c r="N123" s="2">
        <v>45622</v>
      </c>
    </row>
    <row r="124" spans="1:14" x14ac:dyDescent="0.45">
      <c r="A124" s="15" t="s">
        <v>196</v>
      </c>
      <c r="B124" t="s">
        <v>327</v>
      </c>
      <c r="C124">
        <v>0</v>
      </c>
      <c r="D124" t="s">
        <v>332</v>
      </c>
      <c r="E124" t="s">
        <v>338</v>
      </c>
      <c r="F124">
        <v>0</v>
      </c>
      <c r="G124">
        <v>1</v>
      </c>
      <c r="H124">
        <v>0</v>
      </c>
      <c r="I124">
        <v>19.64</v>
      </c>
      <c r="J124">
        <v>4.84</v>
      </c>
      <c r="K124">
        <v>-37.863</v>
      </c>
      <c r="L124">
        <v>144.94909000000001</v>
      </c>
      <c r="M124" t="s">
        <v>754</v>
      </c>
      <c r="N124" s="2">
        <v>45622</v>
      </c>
    </row>
    <row r="125" spans="1:14" x14ac:dyDescent="0.45">
      <c r="A125" t="s">
        <v>187</v>
      </c>
      <c r="B125" t="s">
        <v>327</v>
      </c>
      <c r="C125">
        <v>0</v>
      </c>
      <c r="D125" t="s">
        <v>332</v>
      </c>
      <c r="E125" t="s">
        <v>346</v>
      </c>
      <c r="F125">
        <v>0</v>
      </c>
      <c r="G125">
        <v>1</v>
      </c>
      <c r="H125">
        <v>1</v>
      </c>
      <c r="I125">
        <v>19.59</v>
      </c>
      <c r="J125">
        <v>4.84</v>
      </c>
      <c r="K125">
        <v>-37.863849999999999</v>
      </c>
      <c r="L125">
        <v>144.94962000000001</v>
      </c>
      <c r="M125" t="s">
        <v>754</v>
      </c>
      <c r="N125" s="2">
        <v>45622</v>
      </c>
    </row>
    <row r="126" spans="1:14" x14ac:dyDescent="0.45">
      <c r="A126" t="s">
        <v>208</v>
      </c>
      <c r="B126" t="s">
        <v>327</v>
      </c>
      <c r="C126">
        <v>0</v>
      </c>
      <c r="D126" t="s">
        <v>332</v>
      </c>
      <c r="E126" t="s">
        <v>338</v>
      </c>
      <c r="F126">
        <v>0</v>
      </c>
      <c r="G126">
        <v>1</v>
      </c>
      <c r="H126">
        <v>0</v>
      </c>
      <c r="I126">
        <v>19.510000000000002</v>
      </c>
      <c r="J126">
        <v>5</v>
      </c>
      <c r="K126">
        <v>-37.864730000000002</v>
      </c>
      <c r="L126">
        <v>144.94996</v>
      </c>
      <c r="M126" t="s">
        <v>754</v>
      </c>
      <c r="N126" s="2">
        <v>45622</v>
      </c>
    </row>
    <row r="127" spans="1:14" x14ac:dyDescent="0.45">
      <c r="A127" s="15" t="s">
        <v>228</v>
      </c>
      <c r="B127" t="s">
        <v>327</v>
      </c>
      <c r="C127">
        <v>0</v>
      </c>
      <c r="D127" t="s">
        <v>332</v>
      </c>
      <c r="E127" t="s">
        <v>338</v>
      </c>
      <c r="F127">
        <v>0</v>
      </c>
      <c r="G127">
        <v>1</v>
      </c>
      <c r="H127">
        <v>0</v>
      </c>
      <c r="I127">
        <v>19.47</v>
      </c>
      <c r="J127">
        <v>4.96</v>
      </c>
      <c r="K127">
        <v>-37.865609999999997</v>
      </c>
      <c r="L127">
        <v>144.95041000000001</v>
      </c>
      <c r="M127" t="s">
        <v>754</v>
      </c>
      <c r="N127" s="2">
        <v>45622</v>
      </c>
    </row>
    <row r="128" spans="1:14" x14ac:dyDescent="0.45">
      <c r="A128" t="s">
        <v>253</v>
      </c>
      <c r="B128" t="s">
        <v>327</v>
      </c>
      <c r="C128">
        <v>0</v>
      </c>
      <c r="D128" t="s">
        <v>332</v>
      </c>
      <c r="E128" t="s">
        <v>338</v>
      </c>
      <c r="F128">
        <v>0</v>
      </c>
      <c r="G128">
        <v>1</v>
      </c>
      <c r="H128">
        <v>0</v>
      </c>
      <c r="I128">
        <v>19.43</v>
      </c>
      <c r="J128">
        <v>5.08</v>
      </c>
      <c r="K128">
        <v>-37.866349999999997</v>
      </c>
      <c r="L128">
        <v>144.95074</v>
      </c>
      <c r="M128" t="s">
        <v>754</v>
      </c>
      <c r="N128" s="2">
        <v>45622</v>
      </c>
    </row>
    <row r="129" spans="1:15" x14ac:dyDescent="0.45">
      <c r="A129" s="15" t="s">
        <v>241</v>
      </c>
      <c r="B129" t="s">
        <v>327</v>
      </c>
      <c r="C129">
        <v>0</v>
      </c>
      <c r="D129" t="s">
        <v>332</v>
      </c>
      <c r="E129" t="s">
        <v>338</v>
      </c>
      <c r="F129">
        <v>0</v>
      </c>
      <c r="G129">
        <v>1</v>
      </c>
      <c r="H129">
        <v>0</v>
      </c>
      <c r="I129">
        <v>19.43</v>
      </c>
      <c r="J129">
        <v>5.15</v>
      </c>
      <c r="K129">
        <v>-37.867220000000003</v>
      </c>
      <c r="L129">
        <v>144.95107999999999</v>
      </c>
      <c r="M129" t="s">
        <v>754</v>
      </c>
      <c r="N129" s="2">
        <v>45622</v>
      </c>
    </row>
    <row r="130" spans="1:15" x14ac:dyDescent="0.45">
      <c r="A130" t="s">
        <v>176</v>
      </c>
      <c r="B130" t="s">
        <v>327</v>
      </c>
      <c r="C130">
        <v>0</v>
      </c>
      <c r="D130" t="s">
        <v>332</v>
      </c>
      <c r="E130" t="s">
        <v>346</v>
      </c>
      <c r="F130">
        <v>0</v>
      </c>
      <c r="G130">
        <v>1</v>
      </c>
      <c r="H130">
        <v>1</v>
      </c>
      <c r="I130">
        <v>19.45</v>
      </c>
      <c r="J130">
        <v>5.22</v>
      </c>
      <c r="K130">
        <v>-37.868070000000003</v>
      </c>
      <c r="L130">
        <v>144.95151000000001</v>
      </c>
      <c r="M130" t="s">
        <v>754</v>
      </c>
      <c r="N130" s="2">
        <v>45622</v>
      </c>
    </row>
    <row r="131" spans="1:15" x14ac:dyDescent="0.45">
      <c r="A131" t="s">
        <v>160</v>
      </c>
      <c r="B131" t="s">
        <v>327</v>
      </c>
      <c r="C131">
        <v>0</v>
      </c>
      <c r="D131" t="s">
        <v>332</v>
      </c>
      <c r="E131" t="s">
        <v>338</v>
      </c>
      <c r="F131">
        <v>0</v>
      </c>
      <c r="G131">
        <v>1</v>
      </c>
      <c r="H131">
        <v>0</v>
      </c>
      <c r="I131">
        <v>19.510000000000002</v>
      </c>
      <c r="J131">
        <v>5.17</v>
      </c>
      <c r="K131">
        <v>-37.868960000000001</v>
      </c>
      <c r="L131">
        <v>144.95195000000001</v>
      </c>
      <c r="M131" t="s">
        <v>754</v>
      </c>
      <c r="N131" s="2">
        <v>45622</v>
      </c>
    </row>
    <row r="132" spans="1:15" x14ac:dyDescent="0.45">
      <c r="A132" t="s">
        <v>201</v>
      </c>
      <c r="B132" t="s">
        <v>327</v>
      </c>
      <c r="C132">
        <v>0</v>
      </c>
      <c r="D132" t="s">
        <v>332</v>
      </c>
      <c r="E132" t="s">
        <v>338</v>
      </c>
      <c r="F132">
        <v>0</v>
      </c>
      <c r="G132">
        <v>1</v>
      </c>
      <c r="H132">
        <v>0</v>
      </c>
      <c r="I132">
        <v>19.690000000000001</v>
      </c>
      <c r="J132">
        <v>5.41</v>
      </c>
      <c r="K132">
        <v>-37.869509999999998</v>
      </c>
      <c r="L132">
        <v>144.94869</v>
      </c>
      <c r="M132" t="s">
        <v>754</v>
      </c>
      <c r="N132" s="2">
        <v>45622</v>
      </c>
    </row>
    <row r="133" spans="1:15" x14ac:dyDescent="0.45">
      <c r="A133" t="s">
        <v>179</v>
      </c>
      <c r="B133" t="s">
        <v>327</v>
      </c>
      <c r="C133">
        <v>0</v>
      </c>
      <c r="D133" t="s">
        <v>332</v>
      </c>
      <c r="E133" t="s">
        <v>338</v>
      </c>
      <c r="F133">
        <v>0</v>
      </c>
      <c r="G133">
        <v>1</v>
      </c>
      <c r="H133">
        <v>0</v>
      </c>
      <c r="I133">
        <v>19.68</v>
      </c>
      <c r="J133">
        <v>5.34</v>
      </c>
      <c r="K133">
        <v>-37.86871</v>
      </c>
      <c r="L133">
        <v>144.94826</v>
      </c>
      <c r="M133" t="s">
        <v>754</v>
      </c>
      <c r="N133" s="2">
        <v>45622</v>
      </c>
    </row>
    <row r="134" spans="1:15" x14ac:dyDescent="0.45">
      <c r="A134" t="s">
        <v>197</v>
      </c>
      <c r="B134" t="s">
        <v>327</v>
      </c>
      <c r="C134">
        <v>0</v>
      </c>
      <c r="D134" t="s">
        <v>332</v>
      </c>
      <c r="E134" t="s">
        <v>338</v>
      </c>
      <c r="F134">
        <v>0</v>
      </c>
      <c r="G134">
        <v>1</v>
      </c>
      <c r="H134">
        <v>0</v>
      </c>
      <c r="I134">
        <v>19.68</v>
      </c>
      <c r="J134">
        <v>5.27</v>
      </c>
      <c r="K134">
        <v>-37.867870000000003</v>
      </c>
      <c r="L134">
        <v>144.94784999999999</v>
      </c>
      <c r="M134" t="s">
        <v>754</v>
      </c>
      <c r="N134" s="2">
        <v>45622</v>
      </c>
    </row>
    <row r="135" spans="1:15" x14ac:dyDescent="0.45">
      <c r="A135" s="15" t="s">
        <v>244</v>
      </c>
      <c r="B135" s="16" t="s">
        <v>359</v>
      </c>
      <c r="C135">
        <v>1</v>
      </c>
      <c r="D135" t="s">
        <v>332</v>
      </c>
      <c r="E135" t="s">
        <v>364</v>
      </c>
      <c r="F135">
        <v>0</v>
      </c>
      <c r="G135">
        <v>1</v>
      </c>
      <c r="H135">
        <v>0</v>
      </c>
      <c r="I135">
        <v>19.649999999999999</v>
      </c>
      <c r="J135">
        <v>5.15</v>
      </c>
      <c r="K135">
        <v>-37.867109999999997</v>
      </c>
      <c r="L135">
        <v>144.94738000000001</v>
      </c>
      <c r="M135" t="s">
        <v>754</v>
      </c>
      <c r="N135" s="2">
        <v>45622</v>
      </c>
    </row>
    <row r="136" spans="1:15" x14ac:dyDescent="0.45">
      <c r="A136" t="s">
        <v>260</v>
      </c>
      <c r="B136" t="s">
        <v>327</v>
      </c>
      <c r="C136">
        <v>0</v>
      </c>
      <c r="D136" t="s">
        <v>332</v>
      </c>
      <c r="E136" t="s">
        <v>338</v>
      </c>
      <c r="F136">
        <v>0</v>
      </c>
      <c r="G136">
        <v>1</v>
      </c>
      <c r="H136">
        <v>0</v>
      </c>
      <c r="I136">
        <v>19.559999999999999</v>
      </c>
      <c r="J136">
        <v>5.05</v>
      </c>
      <c r="K136">
        <v>-37.866190000000003</v>
      </c>
      <c r="L136">
        <v>144.94692000000001</v>
      </c>
      <c r="M136" t="s">
        <v>754</v>
      </c>
      <c r="N136" s="2">
        <v>45622</v>
      </c>
    </row>
    <row r="137" spans="1:15" x14ac:dyDescent="0.45">
      <c r="A137" t="s">
        <v>271</v>
      </c>
      <c r="B137" t="s">
        <v>327</v>
      </c>
      <c r="C137">
        <v>0</v>
      </c>
      <c r="D137" t="s">
        <v>332</v>
      </c>
      <c r="E137" t="s">
        <v>338</v>
      </c>
      <c r="F137">
        <v>0</v>
      </c>
      <c r="G137">
        <v>1</v>
      </c>
      <c r="H137">
        <v>0</v>
      </c>
      <c r="I137">
        <v>19.47</v>
      </c>
      <c r="J137" t="s">
        <v>352</v>
      </c>
      <c r="K137">
        <v>-37.865400000000001</v>
      </c>
      <c r="L137">
        <v>144.94645</v>
      </c>
      <c r="M137" t="s">
        <v>754</v>
      </c>
      <c r="N137" s="2">
        <v>45622</v>
      </c>
    </row>
    <row r="138" spans="1:15" x14ac:dyDescent="0.45">
      <c r="A138" t="s">
        <v>261</v>
      </c>
      <c r="B138" t="s">
        <v>327</v>
      </c>
      <c r="C138">
        <v>0</v>
      </c>
      <c r="D138" t="s">
        <v>332</v>
      </c>
      <c r="E138" t="s">
        <v>338</v>
      </c>
      <c r="F138">
        <v>0</v>
      </c>
      <c r="G138">
        <v>1</v>
      </c>
      <c r="H138">
        <v>0</v>
      </c>
      <c r="I138">
        <v>19.43</v>
      </c>
      <c r="J138">
        <v>4.8899999999999997</v>
      </c>
      <c r="K138">
        <v>-37.864570000000001</v>
      </c>
      <c r="L138">
        <v>144.946</v>
      </c>
      <c r="M138" t="s">
        <v>754</v>
      </c>
      <c r="N138" s="2">
        <v>45622</v>
      </c>
    </row>
    <row r="139" spans="1:15" x14ac:dyDescent="0.45">
      <c r="A139" t="s">
        <v>280</v>
      </c>
      <c r="B139" t="s">
        <v>327</v>
      </c>
      <c r="C139">
        <v>0</v>
      </c>
      <c r="D139" t="s">
        <v>332</v>
      </c>
      <c r="E139" t="s">
        <v>338</v>
      </c>
      <c r="F139">
        <v>0</v>
      </c>
      <c r="G139">
        <v>1</v>
      </c>
      <c r="H139">
        <v>0</v>
      </c>
      <c r="I139">
        <v>19.46</v>
      </c>
      <c r="J139">
        <v>4.8600000000000003</v>
      </c>
      <c r="K139">
        <v>-37.863770000000002</v>
      </c>
      <c r="L139">
        <v>144.94549000000001</v>
      </c>
      <c r="M139" t="s">
        <v>754</v>
      </c>
      <c r="N139" s="2">
        <v>45622</v>
      </c>
    </row>
    <row r="140" spans="1:15" x14ac:dyDescent="0.45">
      <c r="A140" t="s">
        <v>185</v>
      </c>
      <c r="B140" t="s">
        <v>327</v>
      </c>
      <c r="C140">
        <v>0</v>
      </c>
      <c r="D140" t="s">
        <v>332</v>
      </c>
      <c r="E140" t="s">
        <v>338</v>
      </c>
      <c r="F140">
        <v>0</v>
      </c>
      <c r="G140">
        <v>1</v>
      </c>
      <c r="H140">
        <v>0</v>
      </c>
      <c r="I140">
        <v>19.45</v>
      </c>
      <c r="J140">
        <v>4.93</v>
      </c>
      <c r="K140">
        <v>-37.862929999999999</v>
      </c>
      <c r="L140">
        <v>144.94502</v>
      </c>
      <c r="M140" t="s">
        <v>754</v>
      </c>
      <c r="N140" s="2">
        <v>45622</v>
      </c>
    </row>
    <row r="141" spans="1:15" x14ac:dyDescent="0.45">
      <c r="A141" t="s">
        <v>296</v>
      </c>
      <c r="B141" s="18" t="s">
        <v>379</v>
      </c>
      <c r="C141">
        <v>2</v>
      </c>
      <c r="F141">
        <v>2</v>
      </c>
      <c r="G141">
        <v>0</v>
      </c>
      <c r="H141">
        <v>2</v>
      </c>
      <c r="I141">
        <v>19.45</v>
      </c>
      <c r="J141">
        <v>4.79</v>
      </c>
      <c r="K141">
        <v>-37.862110000000001</v>
      </c>
      <c r="L141">
        <v>144.94461000000001</v>
      </c>
      <c r="M141" t="s">
        <v>754</v>
      </c>
      <c r="N141" s="2">
        <v>45622</v>
      </c>
      <c r="O141" t="s">
        <v>380</v>
      </c>
    </row>
    <row r="142" spans="1:15" x14ac:dyDescent="0.45">
      <c r="A142" s="15" t="s">
        <v>218</v>
      </c>
      <c r="B142" t="s">
        <v>327</v>
      </c>
      <c r="C142">
        <v>0</v>
      </c>
      <c r="D142" t="s">
        <v>332</v>
      </c>
      <c r="E142" t="s">
        <v>338</v>
      </c>
      <c r="F142">
        <v>0</v>
      </c>
      <c r="G142">
        <v>1</v>
      </c>
      <c r="H142">
        <v>0</v>
      </c>
      <c r="I142">
        <v>19.48</v>
      </c>
      <c r="J142">
        <v>4.8600000000000003</v>
      </c>
      <c r="K142">
        <v>-37.862769999999998</v>
      </c>
      <c r="L142">
        <v>144.94177999999999</v>
      </c>
      <c r="M142" t="s">
        <v>754</v>
      </c>
      <c r="N142" s="2">
        <v>45622</v>
      </c>
    </row>
    <row r="143" spans="1:15" x14ac:dyDescent="0.45">
      <c r="A143" t="s">
        <v>216</v>
      </c>
      <c r="B143" s="16" t="s">
        <v>359</v>
      </c>
      <c r="C143">
        <v>1</v>
      </c>
      <c r="D143" t="s">
        <v>332</v>
      </c>
      <c r="E143" t="s">
        <v>364</v>
      </c>
      <c r="F143">
        <v>0</v>
      </c>
      <c r="G143">
        <v>1</v>
      </c>
      <c r="H143">
        <v>0</v>
      </c>
      <c r="I143">
        <v>19.47</v>
      </c>
      <c r="J143">
        <v>4.91</v>
      </c>
      <c r="K143">
        <v>-37.863720000000001</v>
      </c>
      <c r="L143">
        <v>144.94228000000001</v>
      </c>
      <c r="M143" t="s">
        <v>754</v>
      </c>
      <c r="N143" s="2">
        <v>45622</v>
      </c>
    </row>
    <row r="144" spans="1:15" x14ac:dyDescent="0.45">
      <c r="A144" t="s">
        <v>285</v>
      </c>
      <c r="B144" t="s">
        <v>327</v>
      </c>
      <c r="C144">
        <v>0</v>
      </c>
      <c r="D144" t="s">
        <v>332</v>
      </c>
      <c r="E144" t="s">
        <v>346</v>
      </c>
      <c r="F144">
        <v>0</v>
      </c>
      <c r="G144">
        <v>1</v>
      </c>
      <c r="H144">
        <v>1</v>
      </c>
      <c r="I144">
        <v>19.43</v>
      </c>
      <c r="J144">
        <v>5.05</v>
      </c>
      <c r="K144">
        <v>-37.864490000000004</v>
      </c>
      <c r="L144">
        <v>144.94264999999999</v>
      </c>
      <c r="M144" t="s">
        <v>754</v>
      </c>
      <c r="N144" s="2">
        <v>45622</v>
      </c>
    </row>
    <row r="145" spans="1:14" x14ac:dyDescent="0.45">
      <c r="A145" t="s">
        <v>205</v>
      </c>
      <c r="B145" t="s">
        <v>327</v>
      </c>
      <c r="C145">
        <v>0</v>
      </c>
      <c r="D145" t="s">
        <v>332</v>
      </c>
      <c r="E145" t="s">
        <v>385</v>
      </c>
      <c r="F145">
        <v>0</v>
      </c>
      <c r="G145">
        <v>1</v>
      </c>
      <c r="H145">
        <v>1</v>
      </c>
      <c r="I145">
        <v>19.43</v>
      </c>
      <c r="J145">
        <v>5.03</v>
      </c>
      <c r="K145">
        <v>-37.865319999999997</v>
      </c>
      <c r="L145">
        <v>144.94308000000001</v>
      </c>
      <c r="M145" t="s">
        <v>754</v>
      </c>
      <c r="N145" s="2">
        <v>45622</v>
      </c>
    </row>
    <row r="146" spans="1:14" x14ac:dyDescent="0.45">
      <c r="A146" t="s">
        <v>180</v>
      </c>
      <c r="B146" t="s">
        <v>327</v>
      </c>
      <c r="C146">
        <v>0</v>
      </c>
      <c r="D146" t="s">
        <v>332</v>
      </c>
      <c r="E146" t="s">
        <v>346</v>
      </c>
      <c r="F146">
        <v>0</v>
      </c>
      <c r="G146">
        <v>1</v>
      </c>
      <c r="H146">
        <v>1</v>
      </c>
      <c r="I146">
        <v>19.46</v>
      </c>
      <c r="J146">
        <v>5.22</v>
      </c>
      <c r="K146">
        <v>-37.866169999999997</v>
      </c>
      <c r="L146">
        <v>144.94361000000001</v>
      </c>
      <c r="M146" t="s">
        <v>754</v>
      </c>
      <c r="N146" s="2">
        <v>45622</v>
      </c>
    </row>
    <row r="147" spans="1:14" x14ac:dyDescent="0.45">
      <c r="A147" t="s">
        <v>291</v>
      </c>
      <c r="B147" s="16" t="s">
        <v>359</v>
      </c>
      <c r="C147">
        <v>1</v>
      </c>
      <c r="D147" t="s">
        <v>332</v>
      </c>
      <c r="E147" t="s">
        <v>388</v>
      </c>
      <c r="F147">
        <v>0</v>
      </c>
      <c r="G147">
        <v>1</v>
      </c>
      <c r="H147">
        <v>1</v>
      </c>
      <c r="I147">
        <v>19.52</v>
      </c>
      <c r="J147">
        <v>5.17</v>
      </c>
      <c r="K147">
        <v>-37.867060000000002</v>
      </c>
      <c r="L147">
        <v>144.94395</v>
      </c>
      <c r="M147" t="s">
        <v>754</v>
      </c>
      <c r="N147" s="2">
        <v>45622</v>
      </c>
    </row>
    <row r="148" spans="1:14" x14ac:dyDescent="0.45">
      <c r="A148" t="s">
        <v>254</v>
      </c>
      <c r="B148" t="s">
        <v>327</v>
      </c>
      <c r="C148">
        <v>0</v>
      </c>
      <c r="D148" t="s">
        <v>332</v>
      </c>
      <c r="E148" t="s">
        <v>346</v>
      </c>
      <c r="F148">
        <v>0</v>
      </c>
      <c r="G148">
        <v>1</v>
      </c>
      <c r="H148">
        <v>1</v>
      </c>
      <c r="I148" t="s">
        <v>352</v>
      </c>
      <c r="J148" t="s">
        <v>352</v>
      </c>
      <c r="K148">
        <v>-37.867890000000003</v>
      </c>
      <c r="L148">
        <v>144.94436999999999</v>
      </c>
      <c r="M148" t="s">
        <v>754</v>
      </c>
      <c r="N148" s="2">
        <v>45622</v>
      </c>
    </row>
    <row r="149" spans="1:14" x14ac:dyDescent="0.45">
      <c r="A149" t="s">
        <v>286</v>
      </c>
      <c r="B149" t="s">
        <v>327</v>
      </c>
      <c r="C149">
        <v>0</v>
      </c>
      <c r="D149" t="s">
        <v>332</v>
      </c>
      <c r="E149" t="s">
        <v>338</v>
      </c>
      <c r="F149">
        <v>0</v>
      </c>
      <c r="G149">
        <v>1</v>
      </c>
      <c r="H149">
        <v>0</v>
      </c>
      <c r="I149">
        <v>19.71</v>
      </c>
      <c r="J149">
        <v>5.22</v>
      </c>
      <c r="K149">
        <v>-37.868679999999998</v>
      </c>
      <c r="L149">
        <v>144.94481999999999</v>
      </c>
      <c r="M149" t="s">
        <v>754</v>
      </c>
      <c r="N149" s="2">
        <v>45622</v>
      </c>
    </row>
    <row r="150" spans="1:14" x14ac:dyDescent="0.45">
      <c r="A150" s="15" t="s">
        <v>237</v>
      </c>
      <c r="B150" t="s">
        <v>327</v>
      </c>
      <c r="C150">
        <v>0</v>
      </c>
      <c r="D150" t="s">
        <v>332</v>
      </c>
      <c r="E150" t="s">
        <v>338</v>
      </c>
      <c r="F150">
        <v>0</v>
      </c>
      <c r="G150">
        <v>1</v>
      </c>
      <c r="H150">
        <v>0</v>
      </c>
      <c r="I150">
        <v>19.75</v>
      </c>
      <c r="J150">
        <v>5.34</v>
      </c>
      <c r="K150">
        <v>-37.869540000000001</v>
      </c>
      <c r="L150">
        <v>144.94524000000001</v>
      </c>
      <c r="M150" t="s">
        <v>754</v>
      </c>
      <c r="N150" s="2">
        <v>45622</v>
      </c>
    </row>
    <row r="151" spans="1:14" x14ac:dyDescent="0.45">
      <c r="A151" t="s">
        <v>284</v>
      </c>
      <c r="B151" t="s">
        <v>327</v>
      </c>
      <c r="C151">
        <v>0</v>
      </c>
      <c r="D151" t="s">
        <v>332</v>
      </c>
      <c r="E151" t="s">
        <v>338</v>
      </c>
      <c r="F151">
        <v>0</v>
      </c>
      <c r="G151">
        <v>1</v>
      </c>
      <c r="H151">
        <v>0</v>
      </c>
      <c r="I151">
        <v>19.8</v>
      </c>
      <c r="J151">
        <v>5.38</v>
      </c>
      <c r="K151">
        <v>-37.870399999999997</v>
      </c>
      <c r="L151">
        <v>144.94568000000001</v>
      </c>
      <c r="M151" t="s">
        <v>754</v>
      </c>
      <c r="N151" s="2">
        <v>45622</v>
      </c>
    </row>
    <row r="160" spans="1:14" x14ac:dyDescent="0.45">
      <c r="B160" t="s">
        <v>173</v>
      </c>
    </row>
    <row r="166" spans="2:2" x14ac:dyDescent="0.45">
      <c r="B166" t="s">
        <v>173</v>
      </c>
    </row>
  </sheetData>
  <autoFilter ref="A1:O151" xr:uid="{263A329B-0665-4A76-A908-736CA34D6E1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30DB-5FD9-49A4-A586-608205E29B6F}">
  <dimension ref="A1:L74"/>
  <sheetViews>
    <sheetView topLeftCell="A7" workbookViewId="0">
      <selection activeCell="M3" sqref="M3"/>
    </sheetView>
  </sheetViews>
  <sheetFormatPr defaultRowHeight="14.25" x14ac:dyDescent="0.45"/>
  <cols>
    <col min="2" max="2" width="9.9296875" bestFit="1" customWidth="1"/>
  </cols>
  <sheetData>
    <row r="1" spans="1:12" x14ac:dyDescent="0.45">
      <c r="A1" s="3" t="s">
        <v>156</v>
      </c>
      <c r="B1" s="4"/>
      <c r="C1" s="5" t="s">
        <v>779</v>
      </c>
      <c r="D1" s="6" t="s">
        <v>785</v>
      </c>
      <c r="E1" s="6" t="s">
        <v>793</v>
      </c>
      <c r="F1" s="6" t="s">
        <v>801</v>
      </c>
      <c r="G1" s="7" t="s">
        <v>162</v>
      </c>
      <c r="H1" s="7" t="s">
        <v>187</v>
      </c>
      <c r="I1" s="6" t="s">
        <v>159</v>
      </c>
      <c r="J1" s="7" t="s">
        <v>163</v>
      </c>
      <c r="K1" s="6" t="s">
        <v>188</v>
      </c>
      <c r="L1" s="7" t="s">
        <v>160</v>
      </c>
    </row>
    <row r="2" spans="1:12" x14ac:dyDescent="0.45">
      <c r="A2" s="3" t="s">
        <v>156</v>
      </c>
      <c r="B2" s="5" t="s">
        <v>770</v>
      </c>
      <c r="C2" s="5" t="s">
        <v>780</v>
      </c>
      <c r="D2" s="6" t="s">
        <v>786</v>
      </c>
      <c r="E2" s="6" t="s">
        <v>794</v>
      </c>
      <c r="F2" s="6" t="s">
        <v>802</v>
      </c>
      <c r="G2" s="7" t="s">
        <v>162</v>
      </c>
      <c r="H2" s="5" t="s">
        <v>166</v>
      </c>
      <c r="I2" s="6" t="s">
        <v>159</v>
      </c>
      <c r="J2" s="7" t="s">
        <v>163</v>
      </c>
      <c r="K2" s="7" t="s">
        <v>167</v>
      </c>
      <c r="L2" s="7" t="s">
        <v>160</v>
      </c>
    </row>
    <row r="3" spans="1:12" x14ac:dyDescent="0.45">
      <c r="A3" s="3" t="s">
        <v>156</v>
      </c>
      <c r="B3" s="5" t="s">
        <v>771</v>
      </c>
      <c r="C3" s="6" t="s">
        <v>775</v>
      </c>
      <c r="D3" s="6" t="s">
        <v>787</v>
      </c>
      <c r="E3" s="6" t="s">
        <v>795</v>
      </c>
      <c r="F3" s="6" t="s">
        <v>803</v>
      </c>
      <c r="G3" s="7" t="s">
        <v>162</v>
      </c>
      <c r="H3" s="5" t="s">
        <v>166</v>
      </c>
      <c r="I3" s="6" t="s">
        <v>171</v>
      </c>
      <c r="J3" s="7" t="s">
        <v>163</v>
      </c>
      <c r="K3" s="7" t="s">
        <v>167</v>
      </c>
      <c r="L3" s="7" t="s">
        <v>172</v>
      </c>
    </row>
    <row r="4" spans="1:12" x14ac:dyDescent="0.45">
      <c r="A4" s="4" t="s">
        <v>866</v>
      </c>
      <c r="B4" s="5" t="s">
        <v>772</v>
      </c>
      <c r="C4" s="6" t="s">
        <v>781</v>
      </c>
      <c r="D4" s="6" t="s">
        <v>788</v>
      </c>
      <c r="E4" s="6" t="s">
        <v>796</v>
      </c>
      <c r="F4" s="6" t="s">
        <v>804</v>
      </c>
      <c r="G4" s="5" t="s">
        <v>175</v>
      </c>
      <c r="H4" s="5" t="s">
        <v>166</v>
      </c>
      <c r="I4" s="6" t="s">
        <v>171</v>
      </c>
      <c r="J4" s="7" t="s">
        <v>176</v>
      </c>
      <c r="K4" s="7" t="s">
        <v>167</v>
      </c>
      <c r="L4" s="7" t="s">
        <v>172</v>
      </c>
    </row>
    <row r="5" spans="1:12" x14ac:dyDescent="0.45">
      <c r="A5" s="4" t="s">
        <v>173</v>
      </c>
      <c r="B5" s="6" t="s">
        <v>773</v>
      </c>
      <c r="C5" s="6" t="s">
        <v>782</v>
      </c>
      <c r="D5" s="6" t="s">
        <v>789</v>
      </c>
      <c r="E5" s="6" t="s">
        <v>797</v>
      </c>
      <c r="F5" s="6" t="s">
        <v>805</v>
      </c>
      <c r="G5" s="5" t="s">
        <v>175</v>
      </c>
      <c r="H5" s="7" t="s">
        <v>179</v>
      </c>
      <c r="I5" s="6" t="s">
        <v>171</v>
      </c>
      <c r="J5" s="7" t="s">
        <v>176</v>
      </c>
      <c r="K5" s="7" t="s">
        <v>180</v>
      </c>
      <c r="L5" s="7" t="s">
        <v>172</v>
      </c>
    </row>
    <row r="6" spans="1:12" x14ac:dyDescent="0.45">
      <c r="A6" s="4"/>
      <c r="B6" s="6" t="s">
        <v>777</v>
      </c>
      <c r="C6" s="6" t="s">
        <v>776</v>
      </c>
      <c r="D6" s="6" t="s">
        <v>790</v>
      </c>
      <c r="E6" s="6" t="s">
        <v>798</v>
      </c>
      <c r="F6" s="7" t="s">
        <v>808</v>
      </c>
      <c r="G6" s="5" t="s">
        <v>175</v>
      </c>
      <c r="H6" s="7" t="s">
        <v>179</v>
      </c>
      <c r="I6" s="6" t="s">
        <v>184</v>
      </c>
      <c r="J6" s="7" t="s">
        <v>176</v>
      </c>
      <c r="K6" s="7" t="s">
        <v>180</v>
      </c>
      <c r="L6" s="7" t="s">
        <v>185</v>
      </c>
    </row>
    <row r="7" spans="1:12" x14ac:dyDescent="0.45">
      <c r="A7" s="4" t="s">
        <v>322</v>
      </c>
      <c r="B7" s="6" t="s">
        <v>778</v>
      </c>
      <c r="C7" s="6" t="s">
        <v>783</v>
      </c>
      <c r="D7" s="6" t="s">
        <v>791</v>
      </c>
      <c r="E7" s="6" t="s">
        <v>799</v>
      </c>
      <c r="F7" s="7" t="s">
        <v>809</v>
      </c>
      <c r="G7" s="7" t="s">
        <v>187</v>
      </c>
      <c r="H7" s="7" t="s">
        <v>179</v>
      </c>
      <c r="I7" s="6" t="s">
        <v>184</v>
      </c>
      <c r="J7" s="6" t="s">
        <v>188</v>
      </c>
      <c r="K7" s="7" t="s">
        <v>180</v>
      </c>
      <c r="L7" s="7" t="s">
        <v>185</v>
      </c>
    </row>
    <row r="8" spans="1:12" x14ac:dyDescent="0.45">
      <c r="A8" s="4" t="s">
        <v>173</v>
      </c>
      <c r="B8" s="5" t="s">
        <v>774</v>
      </c>
      <c r="C8" s="6" t="s">
        <v>784</v>
      </c>
      <c r="D8" s="6" t="s">
        <v>792</v>
      </c>
      <c r="E8" s="6" t="s">
        <v>800</v>
      </c>
      <c r="F8" s="7" t="s">
        <v>810</v>
      </c>
      <c r="G8" s="7" t="s">
        <v>187</v>
      </c>
      <c r="H8" s="6" t="s">
        <v>159</v>
      </c>
      <c r="I8" s="6" t="s">
        <v>184</v>
      </c>
      <c r="J8" s="6" t="s">
        <v>188</v>
      </c>
      <c r="K8" s="7" t="s">
        <v>160</v>
      </c>
      <c r="L8" s="7" t="s">
        <v>185</v>
      </c>
    </row>
    <row r="9" spans="1:12" x14ac:dyDescent="0.45">
      <c r="A9" s="8" t="s">
        <v>189</v>
      </c>
      <c r="B9" s="9">
        <v>45762</v>
      </c>
      <c r="C9" s="8"/>
      <c r="D9" s="8"/>
      <c r="E9" s="8"/>
    </row>
    <row r="10" spans="1:12" x14ac:dyDescent="0.45">
      <c r="A10" s="3" t="s">
        <v>156</v>
      </c>
      <c r="B10" s="4"/>
      <c r="C10" s="5" t="s">
        <v>190</v>
      </c>
      <c r="D10" s="5">
        <v>6</v>
      </c>
      <c r="E10" s="7"/>
      <c r="F10" s="5" t="s">
        <v>191</v>
      </c>
      <c r="G10" s="6">
        <v>14</v>
      </c>
      <c r="H10" s="7"/>
      <c r="I10" s="6" t="s">
        <v>192</v>
      </c>
      <c r="J10" s="7">
        <v>22</v>
      </c>
      <c r="K10" s="7"/>
      <c r="L10" s="5" t="s">
        <v>193</v>
      </c>
    </row>
    <row r="11" spans="1:12" x14ac:dyDescent="0.45">
      <c r="A11" s="3" t="s">
        <v>156</v>
      </c>
      <c r="B11" s="7">
        <v>1</v>
      </c>
      <c r="C11" s="5"/>
      <c r="D11" s="5" t="s">
        <v>194</v>
      </c>
      <c r="E11" s="6">
        <v>9</v>
      </c>
      <c r="F11" s="5"/>
      <c r="G11" s="6" t="s">
        <v>195</v>
      </c>
      <c r="H11" s="5">
        <v>17</v>
      </c>
      <c r="I11" s="6"/>
      <c r="J11" s="7" t="s">
        <v>196</v>
      </c>
      <c r="K11" s="5">
        <v>25</v>
      </c>
      <c r="L11" s="5"/>
    </row>
    <row r="12" spans="1:12" x14ac:dyDescent="0.45">
      <c r="A12" s="3" t="s">
        <v>156</v>
      </c>
      <c r="B12" s="7" t="s">
        <v>197</v>
      </c>
      <c r="C12" s="7">
        <v>4</v>
      </c>
      <c r="D12" s="5"/>
      <c r="E12" s="6" t="s">
        <v>198</v>
      </c>
      <c r="F12" s="5">
        <v>12</v>
      </c>
      <c r="G12" s="6"/>
      <c r="H12" s="5" t="s">
        <v>199</v>
      </c>
      <c r="I12" s="5">
        <v>20</v>
      </c>
      <c r="J12" s="7"/>
      <c r="K12" s="5" t="s">
        <v>200</v>
      </c>
      <c r="L12" s="6">
        <v>28</v>
      </c>
    </row>
    <row r="13" spans="1:12" x14ac:dyDescent="0.45">
      <c r="A13" s="4" t="s">
        <v>317</v>
      </c>
      <c r="B13" s="7"/>
      <c r="C13" s="7" t="s">
        <v>201</v>
      </c>
      <c r="D13" s="7">
        <v>7</v>
      </c>
      <c r="E13" s="6"/>
      <c r="F13" s="5" t="s">
        <v>202</v>
      </c>
      <c r="G13" s="6">
        <v>15</v>
      </c>
      <c r="H13" s="5"/>
      <c r="I13" s="5" t="s">
        <v>203</v>
      </c>
      <c r="J13" s="5">
        <v>23</v>
      </c>
      <c r="K13" s="5"/>
      <c r="L13" s="6" t="s">
        <v>204</v>
      </c>
    </row>
    <row r="14" spans="1:12" x14ac:dyDescent="0.45">
      <c r="A14" s="4" t="s">
        <v>173</v>
      </c>
      <c r="B14" s="7">
        <v>2</v>
      </c>
      <c r="C14" s="7"/>
      <c r="D14" s="7" t="s">
        <v>205</v>
      </c>
      <c r="E14" s="7">
        <v>10</v>
      </c>
      <c r="F14" s="5"/>
      <c r="G14" s="6" t="s">
        <v>206</v>
      </c>
      <c r="H14" s="6">
        <v>18</v>
      </c>
      <c r="I14" s="5"/>
      <c r="J14" s="5" t="s">
        <v>207</v>
      </c>
      <c r="K14" s="6">
        <v>26</v>
      </c>
      <c r="L14" s="6" t="s">
        <v>173</v>
      </c>
    </row>
    <row r="15" spans="1:12" x14ac:dyDescent="0.45">
      <c r="A15" s="4"/>
      <c r="B15" s="7" t="s">
        <v>208</v>
      </c>
      <c r="C15" s="5">
        <v>5</v>
      </c>
      <c r="D15" s="7"/>
      <c r="E15" s="7" t="s">
        <v>209</v>
      </c>
      <c r="F15" s="5">
        <v>13</v>
      </c>
      <c r="G15" s="6"/>
      <c r="H15" s="6" t="s">
        <v>210</v>
      </c>
      <c r="I15" s="6">
        <v>21</v>
      </c>
      <c r="J15" s="5"/>
      <c r="K15" s="6" t="s">
        <v>211</v>
      </c>
      <c r="L15" s="6">
        <v>29</v>
      </c>
    </row>
    <row r="16" spans="1:12" x14ac:dyDescent="0.45">
      <c r="A16" s="4" t="s">
        <v>318</v>
      </c>
      <c r="B16" s="7"/>
      <c r="C16" s="5" t="s">
        <v>212</v>
      </c>
      <c r="D16" s="7">
        <v>8</v>
      </c>
      <c r="E16" s="7"/>
      <c r="F16" s="5" t="s">
        <v>213</v>
      </c>
      <c r="G16" s="7">
        <v>16</v>
      </c>
      <c r="H16" s="6"/>
      <c r="I16" s="6" t="s">
        <v>214</v>
      </c>
      <c r="J16" s="7">
        <v>24</v>
      </c>
      <c r="K16" s="6"/>
      <c r="L16" s="6" t="s">
        <v>215</v>
      </c>
    </row>
    <row r="17" spans="1:12" x14ac:dyDescent="0.45">
      <c r="A17" s="4" t="s">
        <v>173</v>
      </c>
      <c r="B17" s="5">
        <v>3</v>
      </c>
      <c r="C17" s="5"/>
      <c r="D17" s="7" t="s">
        <v>216</v>
      </c>
      <c r="E17" s="5">
        <v>11</v>
      </c>
      <c r="F17" s="5"/>
      <c r="G17" s="7" t="s">
        <v>217</v>
      </c>
      <c r="H17" s="6">
        <v>19</v>
      </c>
      <c r="I17" s="6"/>
      <c r="J17" s="7" t="s">
        <v>218</v>
      </c>
      <c r="K17" s="5">
        <v>27</v>
      </c>
      <c r="L17" s="6"/>
    </row>
    <row r="18" spans="1:12" x14ac:dyDescent="0.45">
      <c r="A18" s="8" t="s">
        <v>219</v>
      </c>
      <c r="B18" s="9">
        <v>45762</v>
      </c>
      <c r="C18" s="8"/>
      <c r="D18" s="8"/>
      <c r="E18" s="8"/>
    </row>
    <row r="19" spans="1:12" x14ac:dyDescent="0.45">
      <c r="A19" s="3" t="s">
        <v>156</v>
      </c>
      <c r="B19" s="4"/>
      <c r="C19" s="6" t="s">
        <v>220</v>
      </c>
      <c r="D19" s="5">
        <v>6</v>
      </c>
      <c r="E19" s="5"/>
      <c r="F19" s="6" t="s">
        <v>221</v>
      </c>
      <c r="G19" s="6">
        <v>14</v>
      </c>
      <c r="H19" s="7"/>
      <c r="I19" s="5" t="s">
        <v>222</v>
      </c>
      <c r="J19" s="7">
        <v>22</v>
      </c>
      <c r="K19" s="5"/>
      <c r="L19" s="6" t="s">
        <v>223</v>
      </c>
    </row>
    <row r="20" spans="1:12" x14ac:dyDescent="0.45">
      <c r="A20" s="3" t="s">
        <v>156</v>
      </c>
      <c r="B20" s="6">
        <v>1</v>
      </c>
      <c r="C20" s="6"/>
      <c r="D20" s="5" t="s">
        <v>224</v>
      </c>
      <c r="E20" s="7">
        <v>9</v>
      </c>
      <c r="F20" s="6"/>
      <c r="G20" s="6" t="s">
        <v>225</v>
      </c>
      <c r="H20" s="5">
        <v>17</v>
      </c>
      <c r="I20" s="5"/>
      <c r="J20" s="7" t="s">
        <v>226</v>
      </c>
      <c r="K20" s="5">
        <v>25</v>
      </c>
      <c r="L20" s="6"/>
    </row>
    <row r="21" spans="1:12" x14ac:dyDescent="0.45">
      <c r="A21" s="3" t="s">
        <v>156</v>
      </c>
      <c r="B21" s="6" t="s">
        <v>227</v>
      </c>
      <c r="C21" s="5">
        <v>4</v>
      </c>
      <c r="D21" s="5"/>
      <c r="E21" s="7" t="s">
        <v>228</v>
      </c>
      <c r="F21" s="5">
        <v>12</v>
      </c>
      <c r="G21" s="6"/>
      <c r="H21" s="5" t="s">
        <v>229</v>
      </c>
      <c r="I21" s="5">
        <v>20</v>
      </c>
      <c r="J21" s="7"/>
      <c r="K21" s="5" t="s">
        <v>230</v>
      </c>
      <c r="L21" s="5">
        <v>28</v>
      </c>
    </row>
    <row r="22" spans="1:12" x14ac:dyDescent="0.45">
      <c r="A22" s="4" t="s">
        <v>321</v>
      </c>
      <c r="B22" s="6"/>
      <c r="C22" s="5" t="s">
        <v>231</v>
      </c>
      <c r="D22" s="6">
        <v>7</v>
      </c>
      <c r="E22" s="7"/>
      <c r="F22" s="5" t="s">
        <v>232</v>
      </c>
      <c r="G22" s="7">
        <v>15</v>
      </c>
      <c r="H22" s="5"/>
      <c r="I22" s="5" t="s">
        <v>233</v>
      </c>
      <c r="J22" s="7">
        <v>23</v>
      </c>
      <c r="K22" s="5"/>
      <c r="L22" s="5" t="s">
        <v>234</v>
      </c>
    </row>
    <row r="23" spans="1:12" x14ac:dyDescent="0.45">
      <c r="A23" s="4" t="s">
        <v>173</v>
      </c>
      <c r="B23" s="5">
        <v>2</v>
      </c>
      <c r="C23" s="5"/>
      <c r="D23" s="6" t="s">
        <v>235</v>
      </c>
      <c r="E23" s="6">
        <v>10</v>
      </c>
      <c r="F23" s="5"/>
      <c r="G23" s="7" t="s">
        <v>236</v>
      </c>
      <c r="H23" s="6">
        <v>18</v>
      </c>
      <c r="I23" s="5"/>
      <c r="J23" s="7" t="s">
        <v>237</v>
      </c>
      <c r="K23" s="7">
        <v>26</v>
      </c>
      <c r="L23" s="5" t="s">
        <v>173</v>
      </c>
    </row>
    <row r="24" spans="1:12" x14ac:dyDescent="0.45">
      <c r="A24" s="4"/>
      <c r="B24" s="5" t="s">
        <v>238</v>
      </c>
      <c r="C24" s="7">
        <v>5</v>
      </c>
      <c r="D24" s="6"/>
      <c r="E24" s="6" t="s">
        <v>239</v>
      </c>
      <c r="F24" s="5">
        <v>13</v>
      </c>
      <c r="G24" s="7"/>
      <c r="H24" s="6" t="s">
        <v>240</v>
      </c>
      <c r="I24" s="7">
        <v>21</v>
      </c>
      <c r="J24" s="7"/>
      <c r="K24" s="7" t="s">
        <v>241</v>
      </c>
      <c r="L24" s="5">
        <v>29</v>
      </c>
    </row>
    <row r="25" spans="1:12" x14ac:dyDescent="0.45">
      <c r="A25" s="4" t="s">
        <v>320</v>
      </c>
      <c r="B25" s="5"/>
      <c r="C25" s="7" t="s">
        <v>242</v>
      </c>
      <c r="D25" s="5">
        <v>8</v>
      </c>
      <c r="E25" s="6"/>
      <c r="F25" s="5" t="s">
        <v>243</v>
      </c>
      <c r="G25" s="7">
        <v>16</v>
      </c>
      <c r="H25" s="6"/>
      <c r="I25" s="7" t="s">
        <v>244</v>
      </c>
      <c r="J25" s="5">
        <v>24</v>
      </c>
      <c r="K25" s="7"/>
      <c r="L25" s="5" t="s">
        <v>245</v>
      </c>
    </row>
    <row r="26" spans="1:12" x14ac:dyDescent="0.45">
      <c r="A26" s="4" t="s">
        <v>173</v>
      </c>
      <c r="B26" s="6">
        <v>3</v>
      </c>
      <c r="C26" s="7"/>
      <c r="D26" s="5" t="s">
        <v>246</v>
      </c>
      <c r="E26" s="6">
        <v>11</v>
      </c>
      <c r="F26" s="5"/>
      <c r="G26" s="7" t="s">
        <v>247</v>
      </c>
      <c r="H26" s="5">
        <v>19</v>
      </c>
      <c r="I26" s="7"/>
      <c r="J26" s="5" t="s">
        <v>248</v>
      </c>
      <c r="K26" s="6">
        <v>27</v>
      </c>
      <c r="L26" s="5"/>
    </row>
    <row r="27" spans="1:12" x14ac:dyDescent="0.45">
      <c r="A27" t="s">
        <v>249</v>
      </c>
      <c r="B27" s="2">
        <v>45763</v>
      </c>
    </row>
    <row r="28" spans="1:12" x14ac:dyDescent="0.45">
      <c r="A28" s="3" t="s">
        <v>156</v>
      </c>
      <c r="B28" s="4"/>
      <c r="C28" s="6" t="s">
        <v>250</v>
      </c>
      <c r="D28" s="7">
        <v>6</v>
      </c>
      <c r="E28" s="5"/>
      <c r="F28" s="6" t="s">
        <v>251</v>
      </c>
      <c r="G28" s="6">
        <v>14</v>
      </c>
      <c r="H28" s="6"/>
      <c r="I28" s="5" t="s">
        <v>252</v>
      </c>
      <c r="J28" s="5">
        <v>22</v>
      </c>
      <c r="K28" s="6"/>
      <c r="L28" s="7" t="s">
        <v>253</v>
      </c>
    </row>
    <row r="29" spans="1:12" x14ac:dyDescent="0.45">
      <c r="A29" s="3" t="s">
        <v>156</v>
      </c>
      <c r="B29" s="6">
        <v>1</v>
      </c>
      <c r="C29" s="6"/>
      <c r="D29" s="7" t="s">
        <v>254</v>
      </c>
      <c r="E29" s="6">
        <v>9</v>
      </c>
      <c r="F29" s="6"/>
      <c r="G29" s="6" t="s">
        <v>255</v>
      </c>
      <c r="H29" s="5">
        <v>17</v>
      </c>
      <c r="I29" s="5"/>
      <c r="J29" s="5" t="s">
        <v>256</v>
      </c>
      <c r="K29" s="7">
        <v>25</v>
      </c>
      <c r="L29" s="7"/>
    </row>
    <row r="30" spans="1:12" x14ac:dyDescent="0.45">
      <c r="A30" s="3" t="s">
        <v>156</v>
      </c>
      <c r="B30" s="6" t="s">
        <v>257</v>
      </c>
      <c r="C30" s="7">
        <v>4</v>
      </c>
      <c r="D30" s="7"/>
      <c r="E30" s="6" t="s">
        <v>258</v>
      </c>
      <c r="F30" s="7">
        <v>12</v>
      </c>
      <c r="G30" s="6"/>
      <c r="H30" s="5" t="s">
        <v>259</v>
      </c>
      <c r="I30" s="7">
        <v>20</v>
      </c>
      <c r="J30" s="5"/>
      <c r="K30" s="7" t="s">
        <v>260</v>
      </c>
      <c r="L30" s="7">
        <v>28</v>
      </c>
    </row>
    <row r="31" spans="1:12" x14ac:dyDescent="0.45">
      <c r="A31" s="4" t="s">
        <v>316</v>
      </c>
      <c r="B31" s="6"/>
      <c r="C31" s="7" t="s">
        <v>261</v>
      </c>
      <c r="D31" s="6">
        <v>7</v>
      </c>
      <c r="E31" s="6"/>
      <c r="F31" s="7" t="s">
        <v>262</v>
      </c>
      <c r="G31" s="6">
        <v>15</v>
      </c>
      <c r="H31" s="5"/>
      <c r="I31" s="7" t="s">
        <v>263</v>
      </c>
      <c r="J31" s="7">
        <v>23</v>
      </c>
      <c r="K31" s="7"/>
      <c r="L31" s="7" t="s">
        <v>264</v>
      </c>
    </row>
    <row r="32" spans="1:12" x14ac:dyDescent="0.45">
      <c r="A32" s="4" t="s">
        <v>173</v>
      </c>
      <c r="B32" s="7">
        <v>2</v>
      </c>
      <c r="C32" s="7"/>
      <c r="D32" s="6" t="s">
        <v>265</v>
      </c>
      <c r="E32" s="6">
        <v>10</v>
      </c>
      <c r="F32" s="7"/>
      <c r="G32" s="6" t="s">
        <v>266</v>
      </c>
      <c r="H32" s="5">
        <v>18</v>
      </c>
      <c r="I32" s="7"/>
      <c r="J32" s="7" t="s">
        <v>267</v>
      </c>
      <c r="K32" s="7">
        <v>26</v>
      </c>
      <c r="L32" s="7" t="s">
        <v>173</v>
      </c>
    </row>
    <row r="33" spans="1:12" x14ac:dyDescent="0.45">
      <c r="A33" s="4"/>
      <c r="B33" s="7" t="s">
        <v>268</v>
      </c>
      <c r="C33" s="7">
        <v>5</v>
      </c>
      <c r="D33" s="6"/>
      <c r="E33" s="6" t="s">
        <v>269</v>
      </c>
      <c r="F33" s="5">
        <v>13</v>
      </c>
      <c r="G33" s="6"/>
      <c r="H33" s="5" t="s">
        <v>270</v>
      </c>
      <c r="I33" s="7">
        <v>21</v>
      </c>
      <c r="J33" s="7"/>
      <c r="K33" s="7" t="s">
        <v>271</v>
      </c>
      <c r="L33" s="5">
        <v>29</v>
      </c>
    </row>
    <row r="34" spans="1:12" x14ac:dyDescent="0.45">
      <c r="A34" s="4" t="s">
        <v>867</v>
      </c>
      <c r="B34" s="7"/>
      <c r="C34" s="7" t="s">
        <v>272</v>
      </c>
      <c r="D34" s="5">
        <v>8</v>
      </c>
      <c r="E34" s="6"/>
      <c r="F34" s="5" t="s">
        <v>273</v>
      </c>
      <c r="G34" s="6">
        <v>16</v>
      </c>
      <c r="H34" s="5"/>
      <c r="I34" s="7" t="s">
        <v>274</v>
      </c>
      <c r="J34" s="6">
        <v>24</v>
      </c>
      <c r="K34" s="7"/>
      <c r="L34" s="5" t="s">
        <v>275</v>
      </c>
    </row>
    <row r="35" spans="1:12" x14ac:dyDescent="0.45">
      <c r="A35" s="4" t="s">
        <v>173</v>
      </c>
      <c r="B35" s="6">
        <v>3</v>
      </c>
      <c r="C35" s="7"/>
      <c r="D35" s="5" t="s">
        <v>276</v>
      </c>
      <c r="E35" s="6">
        <v>11</v>
      </c>
      <c r="F35" s="5"/>
      <c r="G35" s="6" t="s">
        <v>277</v>
      </c>
      <c r="H35" s="5">
        <v>19</v>
      </c>
      <c r="I35" s="7"/>
      <c r="J35" s="6" t="s">
        <v>278</v>
      </c>
      <c r="K35" s="7">
        <v>27</v>
      </c>
      <c r="L35" s="5"/>
    </row>
    <row r="36" spans="1:12" x14ac:dyDescent="0.45">
      <c r="A36" t="s">
        <v>279</v>
      </c>
      <c r="B36" s="2">
        <v>45763</v>
      </c>
    </row>
    <row r="37" spans="1:12" x14ac:dyDescent="0.45">
      <c r="A37" s="3" t="s">
        <v>156</v>
      </c>
      <c r="B37" s="4"/>
      <c r="C37" s="7" t="s">
        <v>280</v>
      </c>
      <c r="D37" s="7">
        <v>6</v>
      </c>
      <c r="E37" s="5"/>
      <c r="F37" s="6" t="s">
        <v>281</v>
      </c>
      <c r="G37" s="7">
        <v>14</v>
      </c>
      <c r="H37" s="5"/>
      <c r="I37" s="6" t="s">
        <v>282</v>
      </c>
      <c r="J37" s="7">
        <v>22</v>
      </c>
      <c r="K37" s="5"/>
      <c r="L37" s="5" t="s">
        <v>283</v>
      </c>
    </row>
    <row r="38" spans="1:12" x14ac:dyDescent="0.45">
      <c r="A38" s="3" t="s">
        <v>156</v>
      </c>
      <c r="B38" s="5">
        <v>1</v>
      </c>
      <c r="C38" s="7"/>
      <c r="D38" s="7" t="s">
        <v>284</v>
      </c>
      <c r="E38" s="6">
        <v>9</v>
      </c>
      <c r="F38" s="6"/>
      <c r="G38" s="7" t="s">
        <v>285</v>
      </c>
      <c r="H38" s="5">
        <v>17</v>
      </c>
      <c r="I38" s="6"/>
      <c r="J38" s="7" t="s">
        <v>286</v>
      </c>
      <c r="K38" s="5">
        <v>25</v>
      </c>
      <c r="L38" s="5"/>
    </row>
    <row r="39" spans="1:12" x14ac:dyDescent="0.45">
      <c r="A39" s="3" t="s">
        <v>156</v>
      </c>
      <c r="B39" s="5" t="s">
        <v>287</v>
      </c>
      <c r="C39" s="7">
        <v>4</v>
      </c>
      <c r="D39" s="7"/>
      <c r="E39" s="6" t="s">
        <v>288</v>
      </c>
      <c r="F39" s="5">
        <v>12</v>
      </c>
      <c r="G39" s="7"/>
      <c r="H39" s="5" t="s">
        <v>289</v>
      </c>
      <c r="I39" s="13">
        <v>20</v>
      </c>
      <c r="J39" s="7"/>
      <c r="K39" s="5" t="s">
        <v>290</v>
      </c>
      <c r="L39" s="6">
        <v>28</v>
      </c>
    </row>
    <row r="40" spans="1:12" x14ac:dyDescent="0.45">
      <c r="A40" s="4" t="s">
        <v>321</v>
      </c>
      <c r="B40" s="5"/>
      <c r="C40" s="7" t="s">
        <v>291</v>
      </c>
      <c r="D40" s="7">
        <v>7</v>
      </c>
      <c r="E40" s="6"/>
      <c r="F40" s="5" t="s">
        <v>292</v>
      </c>
      <c r="G40" s="7">
        <v>15</v>
      </c>
      <c r="H40" s="5"/>
      <c r="I40" s="13" t="s">
        <v>293</v>
      </c>
      <c r="J40" s="5">
        <v>23</v>
      </c>
      <c r="K40" s="5"/>
      <c r="L40" s="6" t="s">
        <v>294</v>
      </c>
    </row>
    <row r="41" spans="1:12" x14ac:dyDescent="0.45">
      <c r="A41" s="4" t="s">
        <v>173</v>
      </c>
      <c r="B41" s="7">
        <v>2</v>
      </c>
      <c r="C41" s="7"/>
      <c r="D41" s="7" t="s">
        <v>295</v>
      </c>
      <c r="E41" s="6">
        <v>10</v>
      </c>
      <c r="F41" s="5"/>
      <c r="G41" s="7" t="s">
        <v>296</v>
      </c>
      <c r="H41" s="5">
        <v>18</v>
      </c>
      <c r="I41" s="13"/>
      <c r="J41" s="5" t="s">
        <v>297</v>
      </c>
      <c r="K41" s="5">
        <v>26</v>
      </c>
      <c r="L41" s="6" t="s">
        <v>173</v>
      </c>
    </row>
    <row r="42" spans="1:12" x14ac:dyDescent="0.45">
      <c r="A42" s="4"/>
      <c r="B42" s="7" t="s">
        <v>298</v>
      </c>
      <c r="C42" s="6">
        <v>5</v>
      </c>
      <c r="D42" s="7"/>
      <c r="E42" s="6" t="s">
        <v>299</v>
      </c>
      <c r="F42" s="5">
        <v>13</v>
      </c>
      <c r="G42" s="7"/>
      <c r="H42" s="5" t="s">
        <v>300</v>
      </c>
      <c r="I42" s="6">
        <v>21</v>
      </c>
      <c r="J42" s="5"/>
      <c r="K42" s="5" t="s">
        <v>301</v>
      </c>
      <c r="L42" s="5">
        <v>29</v>
      </c>
    </row>
    <row r="43" spans="1:12" x14ac:dyDescent="0.45">
      <c r="A43" s="4" t="s">
        <v>181</v>
      </c>
      <c r="B43" s="7"/>
      <c r="C43" s="6" t="s">
        <v>302</v>
      </c>
      <c r="D43" s="5">
        <v>8</v>
      </c>
      <c r="E43" s="6"/>
      <c r="F43" s="5" t="s">
        <v>303</v>
      </c>
      <c r="G43" s="5">
        <v>16</v>
      </c>
      <c r="H43" s="5"/>
      <c r="I43" s="6" t="s">
        <v>304</v>
      </c>
      <c r="J43" s="5">
        <v>24</v>
      </c>
      <c r="K43" s="5"/>
      <c r="L43" s="5" t="s">
        <v>305</v>
      </c>
    </row>
    <row r="44" spans="1:12" x14ac:dyDescent="0.45">
      <c r="A44" s="4" t="s">
        <v>173</v>
      </c>
      <c r="B44" s="7">
        <v>3</v>
      </c>
      <c r="C44" s="6"/>
      <c r="D44" s="5" t="s">
        <v>306</v>
      </c>
      <c r="E44" s="6">
        <v>11</v>
      </c>
      <c r="F44" s="5"/>
      <c r="G44" s="5" t="s">
        <v>307</v>
      </c>
      <c r="H44" s="6">
        <v>19</v>
      </c>
      <c r="I44" s="6"/>
      <c r="J44" s="5" t="s">
        <v>308</v>
      </c>
      <c r="K44" s="5">
        <v>27</v>
      </c>
      <c r="L44" s="5"/>
    </row>
    <row r="45" spans="1:12" x14ac:dyDescent="0.45">
      <c r="A45" t="s">
        <v>309</v>
      </c>
      <c r="B45" s="2">
        <v>45763</v>
      </c>
    </row>
    <row r="46" spans="1:12" x14ac:dyDescent="0.45">
      <c r="A46" s="10" t="s">
        <v>156</v>
      </c>
      <c r="B46" s="4"/>
      <c r="C46" s="7" t="s">
        <v>310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45">
      <c r="A47" s="10" t="s">
        <v>156</v>
      </c>
      <c r="B47" s="6">
        <v>1</v>
      </c>
      <c r="C47" s="7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45">
      <c r="A48" s="10" t="s">
        <v>156</v>
      </c>
      <c r="B48" s="6" t="s">
        <v>311</v>
      </c>
      <c r="C48" s="6">
        <v>4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45">
      <c r="A49" s="11" t="s">
        <v>322</v>
      </c>
      <c r="B49" s="6"/>
      <c r="C49" s="6" t="s">
        <v>312</v>
      </c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45">
      <c r="A50" s="11" t="s">
        <v>173</v>
      </c>
      <c r="B50" s="5">
        <v>2</v>
      </c>
      <c r="C50" s="6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45">
      <c r="A51" s="11"/>
      <c r="B51" s="5" t="s">
        <v>313</v>
      </c>
      <c r="C51" s="5">
        <v>5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45">
      <c r="A52" s="11" t="s">
        <v>866</v>
      </c>
      <c r="B52" s="5"/>
      <c r="C52" s="5" t="s">
        <v>314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45">
      <c r="A53" s="12" t="s">
        <v>173</v>
      </c>
      <c r="B53" s="7">
        <v>3</v>
      </c>
      <c r="C53" s="5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45">
      <c r="A54" t="s">
        <v>315</v>
      </c>
      <c r="B54" s="2">
        <v>45763</v>
      </c>
    </row>
    <row r="56" spans="1:12" x14ac:dyDescent="0.45">
      <c r="A56" s="3" t="s">
        <v>156</v>
      </c>
      <c r="B56" s="4"/>
      <c r="C56" s="4"/>
      <c r="D56" s="4" t="s">
        <v>316</v>
      </c>
      <c r="E56" s="13" t="s">
        <v>173</v>
      </c>
      <c r="F56" s="13"/>
      <c r="G56" s="1"/>
      <c r="H56" s="1"/>
      <c r="I56" s="1"/>
      <c r="J56" s="1"/>
      <c r="K56" s="1"/>
      <c r="L56" s="1"/>
    </row>
    <row r="57" spans="1:12" x14ac:dyDescent="0.45">
      <c r="A57" s="3" t="s">
        <v>156</v>
      </c>
      <c r="B57" s="4" t="s">
        <v>317</v>
      </c>
      <c r="C57" s="4"/>
      <c r="D57" s="4"/>
      <c r="E57" s="13">
        <v>33</v>
      </c>
      <c r="F57" s="13"/>
      <c r="G57" s="1"/>
      <c r="H57" s="1"/>
      <c r="I57" s="1"/>
      <c r="J57" s="1"/>
      <c r="K57" s="1"/>
      <c r="L57" s="1"/>
    </row>
    <row r="58" spans="1:12" x14ac:dyDescent="0.45">
      <c r="A58" s="3" t="s">
        <v>156</v>
      </c>
      <c r="B58" s="4"/>
      <c r="C58" s="4" t="s">
        <v>181</v>
      </c>
      <c r="D58" s="4"/>
      <c r="E58" s="13"/>
      <c r="F58" s="13" t="s">
        <v>191</v>
      </c>
      <c r="G58" s="1"/>
      <c r="H58" s="1"/>
      <c r="I58" s="1"/>
      <c r="J58" s="1"/>
      <c r="K58" s="1"/>
      <c r="L58" s="1"/>
    </row>
    <row r="59" spans="1:12" x14ac:dyDescent="0.45">
      <c r="A59" s="4" t="s">
        <v>168</v>
      </c>
      <c r="B59" s="4" t="s">
        <v>173</v>
      </c>
      <c r="C59" s="4"/>
      <c r="D59" s="4" t="s">
        <v>318</v>
      </c>
      <c r="E59" s="13"/>
      <c r="F59" s="13"/>
      <c r="G59" s="1"/>
      <c r="H59" s="1"/>
      <c r="I59" s="1"/>
      <c r="J59" s="1"/>
      <c r="K59" s="1"/>
      <c r="L59" s="1"/>
    </row>
    <row r="60" spans="1:12" x14ac:dyDescent="0.45">
      <c r="A60" s="4"/>
      <c r="B60" s="4" t="s">
        <v>319</v>
      </c>
      <c r="C60" s="4"/>
      <c r="D60" s="4"/>
      <c r="E60" s="13">
        <v>30</v>
      </c>
      <c r="F60" s="13"/>
      <c r="G60" s="1"/>
      <c r="H60" s="1"/>
      <c r="I60" s="1"/>
      <c r="J60" s="1"/>
      <c r="K60" s="1"/>
      <c r="L60" s="1"/>
    </row>
    <row r="61" spans="1:12" x14ac:dyDescent="0.45">
      <c r="A61" s="4"/>
      <c r="B61" s="4" t="s">
        <v>173</v>
      </c>
      <c r="C61" s="4" t="s">
        <v>320</v>
      </c>
      <c r="D61" s="4"/>
      <c r="E61" s="13"/>
      <c r="F61" s="13" t="s">
        <v>202</v>
      </c>
      <c r="G61" s="1"/>
      <c r="H61" s="1"/>
      <c r="I61" s="1"/>
      <c r="J61" s="1"/>
      <c r="K61" s="1"/>
      <c r="L61" s="1"/>
    </row>
    <row r="62" spans="1:12" x14ac:dyDescent="0.45">
      <c r="A62" s="4" t="s">
        <v>321</v>
      </c>
      <c r="B62" s="4" t="s">
        <v>173</v>
      </c>
      <c r="C62" s="4"/>
      <c r="D62" s="13">
        <v>46</v>
      </c>
      <c r="E62" s="13"/>
      <c r="F62" s="13"/>
      <c r="G62" s="1"/>
      <c r="H62" s="1"/>
      <c r="I62" s="1"/>
      <c r="J62" s="1"/>
      <c r="K62" s="1"/>
      <c r="L62" s="1"/>
    </row>
    <row r="63" spans="1:12" x14ac:dyDescent="0.45">
      <c r="A63" s="4"/>
      <c r="B63" s="4" t="s">
        <v>322</v>
      </c>
      <c r="C63" s="4"/>
      <c r="D63" s="13"/>
      <c r="E63" s="13">
        <v>24</v>
      </c>
      <c r="F63" s="13"/>
      <c r="G63" s="1"/>
      <c r="H63" s="1"/>
      <c r="I63" s="1"/>
      <c r="J63" s="1"/>
      <c r="K63" s="1"/>
      <c r="L63" s="1"/>
    </row>
    <row r="64" spans="1:12" x14ac:dyDescent="0.45">
      <c r="A64" t="s">
        <v>323</v>
      </c>
      <c r="B64" s="2">
        <v>45761</v>
      </c>
    </row>
    <row r="66" spans="1:12" x14ac:dyDescent="0.45">
      <c r="A66" s="3" t="s">
        <v>156</v>
      </c>
      <c r="B66" s="4"/>
      <c r="C66" s="4"/>
      <c r="D66" s="4" t="s">
        <v>316</v>
      </c>
      <c r="E66" s="13" t="s">
        <v>173</v>
      </c>
      <c r="F66" s="1"/>
      <c r="G66" s="1"/>
      <c r="H66" s="1"/>
      <c r="I66" s="1"/>
      <c r="J66" s="1"/>
      <c r="K66" s="1"/>
      <c r="L66" s="1"/>
    </row>
    <row r="67" spans="1:12" x14ac:dyDescent="0.45">
      <c r="A67" s="3" t="s">
        <v>156</v>
      </c>
      <c r="B67" s="4" t="s">
        <v>317</v>
      </c>
      <c r="C67" s="4"/>
      <c r="D67" s="4"/>
      <c r="E67" s="13" t="s">
        <v>258</v>
      </c>
      <c r="F67" s="1"/>
      <c r="G67" s="1"/>
      <c r="H67" s="1"/>
      <c r="I67" s="1"/>
      <c r="J67" s="1"/>
      <c r="K67" s="1"/>
      <c r="L67" s="1"/>
    </row>
    <row r="68" spans="1:12" x14ac:dyDescent="0.45">
      <c r="A68" s="3" t="s">
        <v>156</v>
      </c>
      <c r="B68" s="4"/>
      <c r="C68" s="4" t="s">
        <v>181</v>
      </c>
      <c r="D68" s="4"/>
      <c r="E68" s="13"/>
      <c r="F68" s="1"/>
      <c r="G68" s="1"/>
      <c r="H68" s="1"/>
      <c r="I68" s="1"/>
      <c r="J68" s="1"/>
      <c r="K68" s="1"/>
      <c r="L68" s="1"/>
    </row>
    <row r="69" spans="1:12" x14ac:dyDescent="0.45">
      <c r="A69" s="4" t="s">
        <v>168</v>
      </c>
      <c r="B69" s="4" t="s">
        <v>173</v>
      </c>
      <c r="C69" s="4"/>
      <c r="D69" s="4" t="s">
        <v>318</v>
      </c>
      <c r="E69" s="13"/>
      <c r="F69" s="1"/>
      <c r="G69" s="1"/>
      <c r="H69" s="1"/>
      <c r="I69" s="1"/>
      <c r="J69" s="1"/>
      <c r="K69" s="1"/>
      <c r="L69" s="1"/>
    </row>
    <row r="70" spans="1:12" x14ac:dyDescent="0.45">
      <c r="A70" s="4"/>
      <c r="B70" s="4" t="s">
        <v>319</v>
      </c>
      <c r="C70" s="4"/>
      <c r="D70" s="4"/>
      <c r="E70" s="13" t="s">
        <v>276</v>
      </c>
      <c r="F70" s="1"/>
      <c r="G70" s="1"/>
      <c r="H70" s="1"/>
      <c r="I70" s="1"/>
      <c r="J70" s="1"/>
      <c r="K70" s="1"/>
      <c r="L70" s="1"/>
    </row>
    <row r="71" spans="1:12" x14ac:dyDescent="0.45">
      <c r="A71" s="4"/>
      <c r="B71" s="4" t="s">
        <v>173</v>
      </c>
      <c r="C71" s="4" t="s">
        <v>320</v>
      </c>
      <c r="D71" s="4"/>
      <c r="E71" s="13"/>
      <c r="F71" s="1"/>
      <c r="G71" s="1"/>
      <c r="H71" s="1"/>
      <c r="I71" s="1"/>
      <c r="J71" s="1"/>
      <c r="K71" s="1"/>
      <c r="L71" s="1"/>
    </row>
    <row r="72" spans="1:12" x14ac:dyDescent="0.45">
      <c r="A72" s="4" t="s">
        <v>321</v>
      </c>
      <c r="B72" s="4" t="s">
        <v>173</v>
      </c>
      <c r="C72" s="4"/>
      <c r="D72" s="13" t="s">
        <v>251</v>
      </c>
      <c r="E72" s="13"/>
      <c r="F72" s="1"/>
      <c r="G72" s="1"/>
      <c r="H72" s="1"/>
      <c r="I72" s="1"/>
      <c r="J72" s="1"/>
      <c r="K72" s="1"/>
      <c r="L72" s="1"/>
    </row>
    <row r="73" spans="1:12" x14ac:dyDescent="0.45">
      <c r="A73" s="4"/>
      <c r="B73" s="4" t="s">
        <v>322</v>
      </c>
      <c r="C73" s="4"/>
      <c r="D73" s="13"/>
      <c r="E73" s="14"/>
      <c r="F73" s="1"/>
      <c r="G73" s="1"/>
      <c r="H73" s="1"/>
      <c r="I73" s="1"/>
      <c r="J73" s="1"/>
      <c r="K73" s="1"/>
      <c r="L73" s="1"/>
    </row>
    <row r="74" spans="1:12" x14ac:dyDescent="0.45">
      <c r="A74" t="s">
        <v>324</v>
      </c>
      <c r="B74" s="2">
        <v>45734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6C9D-16E6-4352-9E5A-CC1456E2F86F}">
  <dimension ref="A1:O572"/>
  <sheetViews>
    <sheetView zoomScale="115" zoomScaleNormal="115" workbookViewId="0">
      <selection activeCell="C9" sqref="C9:C11"/>
    </sheetView>
  </sheetViews>
  <sheetFormatPr defaultRowHeight="14.25" x14ac:dyDescent="0.45"/>
  <cols>
    <col min="1" max="1" width="10.6640625" customWidth="1"/>
    <col min="2" max="2" width="10.86328125" customWidth="1"/>
    <col min="3" max="3" width="10.19921875" customWidth="1"/>
    <col min="4" max="4" width="14.3984375" customWidth="1"/>
    <col min="6" max="6" width="10.796875" customWidth="1"/>
    <col min="7" max="7" width="12.19921875" customWidth="1"/>
    <col min="9" max="9" width="23.9296875" customWidth="1"/>
    <col min="10" max="10" width="22.86328125" customWidth="1"/>
    <col min="11" max="11" width="19.73046875" customWidth="1"/>
    <col min="12" max="12" width="20.3984375" bestFit="1" customWidth="1"/>
  </cols>
  <sheetData>
    <row r="1" spans="1:7" x14ac:dyDescent="0.45">
      <c r="A1" t="s">
        <v>24</v>
      </c>
      <c r="C1" s="2">
        <v>45761</v>
      </c>
    </row>
    <row r="2" spans="1:7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45">
      <c r="A3" s="1" t="s">
        <v>7</v>
      </c>
      <c r="B3" s="1" t="s">
        <v>8</v>
      </c>
      <c r="C3" s="1" t="s">
        <v>9</v>
      </c>
      <c r="D3" s="1" t="s">
        <v>10</v>
      </c>
      <c r="E3" s="1">
        <v>0.98599999999999999</v>
      </c>
      <c r="F3" s="1">
        <v>-3.3730000000000002</v>
      </c>
      <c r="G3" s="1">
        <v>97.9</v>
      </c>
    </row>
    <row r="4" spans="1:7" x14ac:dyDescent="0.45">
      <c r="A4" s="1" t="s">
        <v>7</v>
      </c>
      <c r="B4" s="1" t="s">
        <v>8</v>
      </c>
      <c r="C4" s="1" t="s">
        <v>9</v>
      </c>
      <c r="D4" s="1" t="s">
        <v>10</v>
      </c>
      <c r="E4" s="1">
        <v>0.98599999999999999</v>
      </c>
      <c r="F4" s="1">
        <v>-3.3730000000000002</v>
      </c>
      <c r="G4" s="1">
        <v>97.9</v>
      </c>
    </row>
    <row r="5" spans="1:7" x14ac:dyDescent="0.45">
      <c r="A5" s="1" t="s">
        <v>7</v>
      </c>
      <c r="B5" s="1" t="s">
        <v>8</v>
      </c>
      <c r="C5" s="1" t="s">
        <v>9</v>
      </c>
      <c r="D5" s="1" t="s">
        <v>10</v>
      </c>
      <c r="E5" s="1">
        <v>0.98599999999999999</v>
      </c>
      <c r="F5" s="1">
        <v>-3.3730000000000002</v>
      </c>
      <c r="G5" s="1">
        <v>97.9</v>
      </c>
    </row>
    <row r="6" spans="1:7" x14ac:dyDescent="0.45">
      <c r="A6" s="1" t="s">
        <v>11</v>
      </c>
      <c r="B6" s="1" t="s">
        <v>19</v>
      </c>
      <c r="C6" s="1" t="s">
        <v>9</v>
      </c>
      <c r="D6" s="1" t="s">
        <v>10</v>
      </c>
      <c r="E6" s="1">
        <v>0.98599999999999999</v>
      </c>
      <c r="F6" s="1">
        <v>-3.3730000000000002</v>
      </c>
      <c r="G6" s="1">
        <v>97.9</v>
      </c>
    </row>
    <row r="7" spans="1:7" x14ac:dyDescent="0.45">
      <c r="A7" s="1" t="s">
        <v>11</v>
      </c>
      <c r="B7" s="1" t="s">
        <v>19</v>
      </c>
      <c r="C7" s="1">
        <v>36.659999999999997</v>
      </c>
      <c r="D7" s="1">
        <v>1</v>
      </c>
      <c r="E7" s="1">
        <v>0.98599999999999999</v>
      </c>
      <c r="F7" s="1">
        <v>-3.3730000000000002</v>
      </c>
      <c r="G7" s="1">
        <v>97.9</v>
      </c>
    </row>
    <row r="8" spans="1:7" x14ac:dyDescent="0.45">
      <c r="A8" s="1" t="s">
        <v>11</v>
      </c>
      <c r="B8" s="1" t="s">
        <v>19</v>
      </c>
      <c r="C8" s="1">
        <v>38.4</v>
      </c>
      <c r="D8" s="1">
        <v>1</v>
      </c>
      <c r="E8" s="1">
        <v>0.98599999999999999</v>
      </c>
      <c r="F8" s="1">
        <v>-3.3730000000000002</v>
      </c>
      <c r="G8" s="1">
        <v>97.9</v>
      </c>
    </row>
    <row r="9" spans="1:7" x14ac:dyDescent="0.45">
      <c r="A9" s="1" t="s">
        <v>11</v>
      </c>
      <c r="B9" s="1" t="s">
        <v>12</v>
      </c>
      <c r="C9" s="1">
        <v>36.299999999999997</v>
      </c>
      <c r="D9" s="1">
        <v>10</v>
      </c>
      <c r="E9" s="1">
        <v>0.98599999999999999</v>
      </c>
      <c r="F9" s="1">
        <v>-3.3730000000000002</v>
      </c>
      <c r="G9" s="1">
        <v>97.9</v>
      </c>
    </row>
    <row r="10" spans="1:7" x14ac:dyDescent="0.45">
      <c r="A10" s="1" t="s">
        <v>11</v>
      </c>
      <c r="B10" s="1" t="s">
        <v>12</v>
      </c>
      <c r="C10" s="1">
        <v>36.65</v>
      </c>
      <c r="D10" s="1">
        <v>10</v>
      </c>
      <c r="E10" s="1">
        <v>0.98599999999999999</v>
      </c>
      <c r="F10" s="1">
        <v>-3.3730000000000002</v>
      </c>
      <c r="G10" s="1">
        <v>97.9</v>
      </c>
    </row>
    <row r="11" spans="1:7" x14ac:dyDescent="0.45">
      <c r="A11" s="1" t="s">
        <v>11</v>
      </c>
      <c r="B11" s="1" t="s">
        <v>12</v>
      </c>
      <c r="C11" s="1">
        <v>37.49</v>
      </c>
      <c r="D11" s="1">
        <v>10</v>
      </c>
      <c r="E11" s="1">
        <v>0.98599999999999999</v>
      </c>
      <c r="F11" s="1">
        <v>-3.3730000000000002</v>
      </c>
      <c r="G11" s="1">
        <v>97.9</v>
      </c>
    </row>
    <row r="12" spans="1:7" x14ac:dyDescent="0.45">
      <c r="A12" s="1" t="s">
        <v>11</v>
      </c>
      <c r="B12" s="1" t="s">
        <v>16</v>
      </c>
      <c r="C12" s="1">
        <v>33.299999999999997</v>
      </c>
      <c r="D12" s="1">
        <v>100</v>
      </c>
      <c r="E12" s="1">
        <v>0.98599999999999999</v>
      </c>
      <c r="F12" s="1">
        <v>-3.3730000000000002</v>
      </c>
      <c r="G12" s="1">
        <v>97.9</v>
      </c>
    </row>
    <row r="13" spans="1:7" x14ac:dyDescent="0.45">
      <c r="A13" s="1" t="s">
        <v>11</v>
      </c>
      <c r="B13" s="1" t="s">
        <v>16</v>
      </c>
      <c r="C13" s="1">
        <v>32.78</v>
      </c>
      <c r="D13" s="1">
        <v>100</v>
      </c>
      <c r="E13" s="1">
        <v>0.98599999999999999</v>
      </c>
      <c r="F13" s="1">
        <v>-3.3730000000000002</v>
      </c>
      <c r="G13" s="1">
        <v>97.9</v>
      </c>
    </row>
    <row r="14" spans="1:7" x14ac:dyDescent="0.45">
      <c r="A14" s="1" t="s">
        <v>11</v>
      </c>
      <c r="B14" s="1" t="s">
        <v>16</v>
      </c>
      <c r="C14" s="1">
        <v>32.549999999999997</v>
      </c>
      <c r="D14" s="1">
        <v>100</v>
      </c>
      <c r="E14" s="1">
        <v>0.98599999999999999</v>
      </c>
      <c r="F14" s="1">
        <v>-3.3730000000000002</v>
      </c>
      <c r="G14" s="1">
        <v>97.9</v>
      </c>
    </row>
    <row r="15" spans="1:7" x14ac:dyDescent="0.45">
      <c r="A15" s="1" t="s">
        <v>11</v>
      </c>
      <c r="B15" s="1" t="s">
        <v>21</v>
      </c>
      <c r="C15" s="1">
        <v>29.78</v>
      </c>
      <c r="D15" s="1">
        <v>1000</v>
      </c>
      <c r="E15" s="1">
        <v>0.98599999999999999</v>
      </c>
      <c r="F15" s="1">
        <v>-3.3730000000000002</v>
      </c>
      <c r="G15" s="1">
        <v>97.9</v>
      </c>
    </row>
    <row r="16" spans="1:7" x14ac:dyDescent="0.45">
      <c r="A16" s="1" t="s">
        <v>11</v>
      </c>
      <c r="B16" s="1" t="s">
        <v>21</v>
      </c>
      <c r="C16" s="1">
        <v>30.03</v>
      </c>
      <c r="D16" s="1">
        <v>1000</v>
      </c>
      <c r="E16" s="1">
        <v>0.98599999999999999</v>
      </c>
      <c r="F16" s="1">
        <v>-3.3730000000000002</v>
      </c>
      <c r="G16" s="1">
        <v>97.9</v>
      </c>
    </row>
    <row r="17" spans="1:7" x14ac:dyDescent="0.45">
      <c r="A17" s="1" t="s">
        <v>11</v>
      </c>
      <c r="B17" s="1" t="s">
        <v>21</v>
      </c>
      <c r="C17" s="1">
        <v>29.78</v>
      </c>
      <c r="D17" s="1">
        <v>1000</v>
      </c>
      <c r="E17" s="1">
        <v>0.98599999999999999</v>
      </c>
      <c r="F17" s="1">
        <v>-3.3730000000000002</v>
      </c>
      <c r="G17" s="1">
        <v>97.9</v>
      </c>
    </row>
    <row r="18" spans="1:7" x14ac:dyDescent="0.45">
      <c r="A18" s="1" t="s">
        <v>11</v>
      </c>
      <c r="B18" s="1" t="s">
        <v>13</v>
      </c>
      <c r="C18" s="1">
        <v>28.39</v>
      </c>
      <c r="D18" s="1">
        <v>10000</v>
      </c>
      <c r="E18" s="1">
        <v>0.98599999999999999</v>
      </c>
      <c r="F18" s="1">
        <v>-3.3730000000000002</v>
      </c>
      <c r="G18" s="1">
        <v>97.9</v>
      </c>
    </row>
    <row r="19" spans="1:7" x14ac:dyDescent="0.45">
      <c r="A19" s="1" t="s">
        <v>11</v>
      </c>
      <c r="B19" s="1" t="s">
        <v>13</v>
      </c>
      <c r="C19" s="1">
        <v>26.16</v>
      </c>
      <c r="D19" s="1">
        <v>10000</v>
      </c>
      <c r="E19" s="1">
        <v>0.98599999999999999</v>
      </c>
      <c r="F19" s="1">
        <v>-3.3730000000000002</v>
      </c>
      <c r="G19" s="1">
        <v>97.9</v>
      </c>
    </row>
    <row r="20" spans="1:7" x14ac:dyDescent="0.45">
      <c r="A20" s="1" t="s">
        <v>11</v>
      </c>
      <c r="B20" s="1" t="s">
        <v>13</v>
      </c>
      <c r="C20" s="1">
        <v>26.94</v>
      </c>
      <c r="D20" s="1">
        <v>10000</v>
      </c>
      <c r="E20" s="1">
        <v>0.98599999999999999</v>
      </c>
      <c r="F20" s="1">
        <v>-3.3730000000000002</v>
      </c>
      <c r="G20" s="1">
        <v>97.9</v>
      </c>
    </row>
    <row r="21" spans="1:7" x14ac:dyDescent="0.45">
      <c r="A21" s="1" t="s">
        <v>11</v>
      </c>
      <c r="B21" s="1" t="s">
        <v>17</v>
      </c>
      <c r="C21" s="1">
        <v>22.77</v>
      </c>
      <c r="D21" s="1">
        <v>100000</v>
      </c>
      <c r="E21" s="1">
        <v>0.98599999999999999</v>
      </c>
      <c r="F21" s="1">
        <v>-3.3730000000000002</v>
      </c>
      <c r="G21" s="1">
        <v>97.9</v>
      </c>
    </row>
    <row r="22" spans="1:7" x14ac:dyDescent="0.45">
      <c r="A22" s="1" t="s">
        <v>11</v>
      </c>
      <c r="B22" s="1" t="s">
        <v>17</v>
      </c>
      <c r="C22" s="1">
        <v>22.74</v>
      </c>
      <c r="D22" s="1">
        <v>100000</v>
      </c>
      <c r="E22" s="1">
        <v>0.98599999999999999</v>
      </c>
      <c r="F22" s="1">
        <v>-3.3730000000000002</v>
      </c>
      <c r="G22" s="1">
        <v>97.9</v>
      </c>
    </row>
    <row r="23" spans="1:7" x14ac:dyDescent="0.45">
      <c r="A23" s="1" t="s">
        <v>11</v>
      </c>
      <c r="B23" s="1" t="s">
        <v>17</v>
      </c>
      <c r="C23" s="1">
        <v>20.41</v>
      </c>
      <c r="D23" s="1">
        <v>100000</v>
      </c>
      <c r="E23" s="1">
        <v>0.98599999999999999</v>
      </c>
      <c r="F23" s="1">
        <v>-3.3730000000000002</v>
      </c>
      <c r="G23" s="1">
        <v>97.9</v>
      </c>
    </row>
    <row r="24" spans="1:7" x14ac:dyDescent="0.45">
      <c r="A24" s="1" t="s">
        <v>11</v>
      </c>
      <c r="B24" s="1" t="s">
        <v>22</v>
      </c>
      <c r="C24" s="1">
        <v>19.23</v>
      </c>
      <c r="D24" s="1">
        <v>1000000</v>
      </c>
      <c r="E24" s="1">
        <v>0.98599999999999999</v>
      </c>
      <c r="F24" s="1">
        <v>-3.3730000000000002</v>
      </c>
      <c r="G24" s="1">
        <v>97.9</v>
      </c>
    </row>
    <row r="25" spans="1:7" x14ac:dyDescent="0.45">
      <c r="A25" s="1" t="s">
        <v>11</v>
      </c>
      <c r="B25" s="1" t="s">
        <v>22</v>
      </c>
      <c r="C25" s="1">
        <v>19.66</v>
      </c>
      <c r="D25" s="1">
        <v>1000000</v>
      </c>
      <c r="E25" s="1">
        <v>0.98599999999999999</v>
      </c>
      <c r="F25" s="1">
        <v>-3.3730000000000002</v>
      </c>
      <c r="G25" s="1">
        <v>97.9</v>
      </c>
    </row>
    <row r="26" spans="1:7" x14ac:dyDescent="0.45">
      <c r="A26" s="1" t="s">
        <v>11</v>
      </c>
      <c r="B26" s="1" t="s">
        <v>22</v>
      </c>
      <c r="C26" s="1">
        <v>19.95</v>
      </c>
      <c r="D26" s="1">
        <v>1000000</v>
      </c>
      <c r="E26" s="1">
        <v>0.98599999999999999</v>
      </c>
      <c r="F26" s="1">
        <v>-3.3730000000000002</v>
      </c>
      <c r="G26" s="1">
        <v>97.9</v>
      </c>
    </row>
    <row r="27" spans="1:7" x14ac:dyDescent="0.45">
      <c r="A27" s="1" t="s">
        <v>11</v>
      </c>
      <c r="B27" s="1" t="s">
        <v>14</v>
      </c>
      <c r="C27" s="1">
        <v>16.190000000000001</v>
      </c>
      <c r="D27" s="1">
        <v>10000000</v>
      </c>
      <c r="E27" s="1">
        <v>0.98599999999999999</v>
      </c>
      <c r="F27" s="1">
        <v>-3.3730000000000002</v>
      </c>
      <c r="G27" s="1">
        <v>97.9</v>
      </c>
    </row>
    <row r="28" spans="1:7" x14ac:dyDescent="0.45">
      <c r="A28" s="1" t="s">
        <v>11</v>
      </c>
      <c r="B28" s="1" t="s">
        <v>14</v>
      </c>
      <c r="C28" s="1">
        <v>15.55</v>
      </c>
      <c r="D28" s="1">
        <v>10000000</v>
      </c>
      <c r="E28" s="1">
        <v>0.98599999999999999</v>
      </c>
      <c r="F28" s="1">
        <v>-3.3730000000000002</v>
      </c>
      <c r="G28" s="1">
        <v>97.9</v>
      </c>
    </row>
    <row r="29" spans="1:7" x14ac:dyDescent="0.45">
      <c r="A29" s="1" t="s">
        <v>11</v>
      </c>
      <c r="B29" s="1" t="s">
        <v>14</v>
      </c>
      <c r="C29" s="1">
        <v>15.59</v>
      </c>
      <c r="D29" s="1">
        <v>10000000</v>
      </c>
      <c r="E29" s="1">
        <v>0.98599999999999999</v>
      </c>
      <c r="F29" s="1">
        <v>-3.3730000000000002</v>
      </c>
      <c r="G29" s="1">
        <v>97.9</v>
      </c>
    </row>
    <row r="30" spans="1:7" x14ac:dyDescent="0.45">
      <c r="A30" s="1" t="s">
        <v>11</v>
      </c>
      <c r="B30" s="1" t="s">
        <v>20</v>
      </c>
      <c r="C30" s="1">
        <v>11.92</v>
      </c>
      <c r="D30" s="1">
        <v>100000000</v>
      </c>
      <c r="E30" s="1">
        <v>0.98599999999999999</v>
      </c>
      <c r="F30" s="1">
        <v>-3.3730000000000002</v>
      </c>
      <c r="G30" s="1">
        <v>97.9</v>
      </c>
    </row>
    <row r="31" spans="1:7" x14ac:dyDescent="0.45">
      <c r="A31" s="1" t="s">
        <v>11</v>
      </c>
      <c r="B31" s="1" t="s">
        <v>20</v>
      </c>
      <c r="C31" s="1">
        <v>11.66</v>
      </c>
      <c r="D31" s="1">
        <v>100000000</v>
      </c>
      <c r="E31" s="1">
        <v>0.98599999999999999</v>
      </c>
      <c r="F31" s="1">
        <v>-3.3730000000000002</v>
      </c>
      <c r="G31" s="1">
        <v>97.9</v>
      </c>
    </row>
    <row r="32" spans="1:7" x14ac:dyDescent="0.45">
      <c r="A32" s="1" t="s">
        <v>11</v>
      </c>
      <c r="B32" s="1" t="s">
        <v>20</v>
      </c>
      <c r="C32" s="1">
        <v>12.39</v>
      </c>
      <c r="D32" s="1">
        <v>100000000</v>
      </c>
      <c r="E32" s="1">
        <v>0.98599999999999999</v>
      </c>
      <c r="F32" s="1">
        <v>-3.3730000000000002</v>
      </c>
      <c r="G32" s="1">
        <v>97.9</v>
      </c>
    </row>
    <row r="33" spans="1:7" x14ac:dyDescent="0.45">
      <c r="A33" s="1" t="s">
        <v>15</v>
      </c>
      <c r="B33" s="1">
        <v>46</v>
      </c>
      <c r="C33" s="1">
        <v>17.05</v>
      </c>
      <c r="D33" s="1">
        <v>4581439.3176058903</v>
      </c>
      <c r="E33" s="1">
        <v>0.98599999999999999</v>
      </c>
      <c r="F33" s="1">
        <v>-3.3730000000000002</v>
      </c>
      <c r="G33" s="1">
        <v>97.9</v>
      </c>
    </row>
    <row r="34" spans="1:7" x14ac:dyDescent="0.45">
      <c r="A34" s="1" t="s">
        <v>15</v>
      </c>
      <c r="B34" s="1">
        <v>46</v>
      </c>
      <c r="C34" s="1">
        <v>17.010000000000002</v>
      </c>
      <c r="D34" s="1">
        <v>4724870.2784078699</v>
      </c>
      <c r="E34" s="1">
        <v>0.98599999999999999</v>
      </c>
      <c r="F34" s="1">
        <v>-3.3730000000000002</v>
      </c>
      <c r="G34" s="1">
        <v>97.9</v>
      </c>
    </row>
    <row r="35" spans="1:7" x14ac:dyDescent="0.45">
      <c r="A35" s="1" t="s">
        <v>15</v>
      </c>
      <c r="B35" s="1">
        <v>46</v>
      </c>
      <c r="C35" s="1">
        <v>17.260000000000002</v>
      </c>
      <c r="D35" s="1">
        <v>3971315.1879537799</v>
      </c>
      <c r="E35" s="1">
        <v>0.98599999999999999</v>
      </c>
      <c r="F35" s="1">
        <v>-3.3730000000000002</v>
      </c>
      <c r="G35" s="1">
        <v>97.9</v>
      </c>
    </row>
    <row r="36" spans="1:7" x14ac:dyDescent="0.45">
      <c r="A36" s="1" t="s">
        <v>15</v>
      </c>
      <c r="B36" s="1">
        <v>33</v>
      </c>
      <c r="C36" s="1">
        <v>15.55</v>
      </c>
      <c r="D36" s="1">
        <v>12758018.259807</v>
      </c>
      <c r="E36" s="1">
        <v>0.98599999999999999</v>
      </c>
      <c r="F36" s="1">
        <v>-3.3730000000000002</v>
      </c>
      <c r="G36" s="1">
        <v>97.9</v>
      </c>
    </row>
    <row r="37" spans="1:7" x14ac:dyDescent="0.45">
      <c r="A37" s="1" t="s">
        <v>15</v>
      </c>
      <c r="B37" s="1">
        <v>33</v>
      </c>
      <c r="C37" s="1">
        <v>36.43</v>
      </c>
      <c r="D37" s="1">
        <v>8.2623576314990999</v>
      </c>
      <c r="E37" s="1">
        <v>0.98599999999999999</v>
      </c>
      <c r="F37" s="1">
        <v>-3.3730000000000002</v>
      </c>
      <c r="G37" s="1">
        <v>97.9</v>
      </c>
    </row>
    <row r="38" spans="1:7" x14ac:dyDescent="0.45">
      <c r="A38" s="1" t="s">
        <v>15</v>
      </c>
      <c r="B38" s="1">
        <v>33</v>
      </c>
      <c r="C38" s="1">
        <v>15.25</v>
      </c>
      <c r="D38" s="1">
        <v>15717605.8500534</v>
      </c>
      <c r="E38" s="1">
        <v>0.98599999999999999</v>
      </c>
      <c r="F38" s="1">
        <v>-3.3730000000000002</v>
      </c>
      <c r="G38" s="1">
        <v>97.9</v>
      </c>
    </row>
    <row r="39" spans="1:7" x14ac:dyDescent="0.45">
      <c r="A39" s="1" t="s">
        <v>15</v>
      </c>
      <c r="B39" s="1">
        <v>30</v>
      </c>
      <c r="C39" s="1">
        <v>22.14</v>
      </c>
      <c r="D39" s="1">
        <v>142443.33594052901</v>
      </c>
      <c r="E39" s="1">
        <v>0.98599999999999999</v>
      </c>
      <c r="F39" s="1">
        <v>-3.3730000000000002</v>
      </c>
      <c r="G39" s="1">
        <v>97.9</v>
      </c>
    </row>
    <row r="40" spans="1:7" x14ac:dyDescent="0.45">
      <c r="A40" s="1" t="s">
        <v>15</v>
      </c>
      <c r="B40" s="1">
        <v>30</v>
      </c>
      <c r="C40" s="1">
        <v>22.04</v>
      </c>
      <c r="D40" s="1">
        <v>151935.95004582699</v>
      </c>
      <c r="E40" s="1">
        <v>0.98599999999999999</v>
      </c>
      <c r="F40" s="1">
        <v>-3.3730000000000002</v>
      </c>
      <c r="G40" s="1">
        <v>97.9</v>
      </c>
    </row>
    <row r="41" spans="1:7" x14ac:dyDescent="0.45">
      <c r="A41" s="1" t="s">
        <v>15</v>
      </c>
      <c r="B41" s="1">
        <v>30</v>
      </c>
      <c r="C41" s="1">
        <v>22.02</v>
      </c>
      <c r="D41" s="1">
        <v>154763.368402839</v>
      </c>
      <c r="E41" s="1">
        <v>0.98599999999999999</v>
      </c>
      <c r="F41" s="1">
        <v>-3.3730000000000002</v>
      </c>
      <c r="G41" s="1">
        <v>97.9</v>
      </c>
    </row>
    <row r="42" spans="1:7" x14ac:dyDescent="0.45">
      <c r="A42" s="1" t="s">
        <v>15</v>
      </c>
      <c r="B42" s="1">
        <v>24</v>
      </c>
      <c r="C42" s="1" t="s">
        <v>9</v>
      </c>
      <c r="D42" s="1" t="s">
        <v>10</v>
      </c>
      <c r="E42" s="1">
        <v>0.98599999999999999</v>
      </c>
      <c r="F42" s="1">
        <v>-3.3730000000000002</v>
      </c>
      <c r="G42" s="1">
        <v>97.9</v>
      </c>
    </row>
    <row r="43" spans="1:7" x14ac:dyDescent="0.45">
      <c r="A43" s="1" t="s">
        <v>15</v>
      </c>
      <c r="B43" s="1">
        <v>24</v>
      </c>
      <c r="C43" s="1">
        <v>19.77</v>
      </c>
      <c r="D43" s="1">
        <v>715720.84005779005</v>
      </c>
      <c r="E43" s="1">
        <v>0.98599999999999999</v>
      </c>
      <c r="F43" s="1">
        <v>-3.3730000000000002</v>
      </c>
      <c r="G43" s="1">
        <v>97.9</v>
      </c>
    </row>
    <row r="44" spans="1:7" x14ac:dyDescent="0.45">
      <c r="A44" s="1" t="s">
        <v>15</v>
      </c>
      <c r="B44" s="1">
        <v>24</v>
      </c>
      <c r="C44" s="1">
        <v>20.03</v>
      </c>
      <c r="D44" s="1">
        <v>601665.88798426499</v>
      </c>
      <c r="E44" s="1">
        <v>0.98599999999999999</v>
      </c>
      <c r="F44" s="1">
        <v>-3.3730000000000002</v>
      </c>
      <c r="G44" s="1">
        <v>97.9</v>
      </c>
    </row>
    <row r="45" spans="1:7" x14ac:dyDescent="0.45">
      <c r="A45" s="1" t="s">
        <v>15</v>
      </c>
      <c r="B45" s="1" t="s">
        <v>18</v>
      </c>
      <c r="C45" s="1">
        <v>39.9</v>
      </c>
      <c r="D45" s="1">
        <v>0.76898342201294401</v>
      </c>
      <c r="E45" s="1">
        <v>0.98599999999999999</v>
      </c>
      <c r="F45" s="1">
        <v>-3.3730000000000002</v>
      </c>
      <c r="G45" s="1">
        <v>97.9</v>
      </c>
    </row>
    <row r="46" spans="1:7" x14ac:dyDescent="0.45">
      <c r="A46" s="1" t="s">
        <v>15</v>
      </c>
      <c r="B46" s="1" t="s">
        <v>18</v>
      </c>
      <c r="C46" s="1" t="s">
        <v>9</v>
      </c>
      <c r="D46" s="1" t="s">
        <v>10</v>
      </c>
      <c r="E46" s="1">
        <v>0.98599999999999999</v>
      </c>
      <c r="F46" s="1">
        <v>-3.3730000000000002</v>
      </c>
      <c r="G46" s="1">
        <v>97.9</v>
      </c>
    </row>
    <row r="47" spans="1:7" x14ac:dyDescent="0.45">
      <c r="A47" s="1" t="s">
        <v>15</v>
      </c>
      <c r="B47" s="1" t="s">
        <v>18</v>
      </c>
      <c r="C47" s="1">
        <v>37.58</v>
      </c>
      <c r="D47" s="1">
        <v>3.74568285708094</v>
      </c>
      <c r="E47" s="1">
        <v>0.98599999999999999</v>
      </c>
      <c r="F47" s="1">
        <v>-3.3730000000000002</v>
      </c>
      <c r="G47" s="1">
        <v>97.9</v>
      </c>
    </row>
    <row r="48" spans="1:7" x14ac:dyDescent="0.45">
      <c r="A48" s="1" t="s">
        <v>15</v>
      </c>
      <c r="B48" s="1" t="s">
        <v>23</v>
      </c>
      <c r="C48" s="1" t="s">
        <v>9</v>
      </c>
      <c r="D48" s="1" t="s">
        <v>10</v>
      </c>
      <c r="E48" s="1">
        <v>0.98599999999999999</v>
      </c>
      <c r="F48" s="1">
        <v>-3.3730000000000002</v>
      </c>
      <c r="G48" s="1">
        <v>97.9</v>
      </c>
    </row>
    <row r="49" spans="1:14" x14ac:dyDescent="0.45">
      <c r="A49" s="1" t="s">
        <v>15</v>
      </c>
      <c r="B49" s="1" t="s">
        <v>23</v>
      </c>
      <c r="C49" s="1">
        <v>38.979999999999997</v>
      </c>
      <c r="D49" s="1">
        <v>1.44565772484032</v>
      </c>
      <c r="E49" s="1">
        <v>0.98599999999999999</v>
      </c>
      <c r="F49" s="1">
        <v>-3.3730000000000002</v>
      </c>
      <c r="G49" s="1">
        <v>97.9</v>
      </c>
    </row>
    <row r="50" spans="1:14" x14ac:dyDescent="0.45">
      <c r="A50" s="1" t="s">
        <v>15</v>
      </c>
      <c r="B50" s="1" t="s">
        <v>23</v>
      </c>
      <c r="C50" s="1">
        <v>37.729999999999997</v>
      </c>
      <c r="D50" s="1">
        <v>3.3822167494743902</v>
      </c>
      <c r="E50" s="1">
        <v>0.98599999999999999</v>
      </c>
      <c r="F50" s="1">
        <v>-3.3730000000000002</v>
      </c>
      <c r="G50" s="1">
        <v>97.9</v>
      </c>
    </row>
    <row r="52" spans="1:14" x14ac:dyDescent="0.45">
      <c r="A52" t="s">
        <v>44</v>
      </c>
      <c r="B52" t="s">
        <v>45</v>
      </c>
      <c r="C52" s="2">
        <v>45762</v>
      </c>
    </row>
    <row r="53" spans="1:14" x14ac:dyDescent="0.45">
      <c r="A53" s="1" t="s">
        <v>48</v>
      </c>
      <c r="B53" s="1" t="s">
        <v>0</v>
      </c>
      <c r="C53" s="1" t="s">
        <v>1</v>
      </c>
      <c r="D53" s="1" t="s">
        <v>25</v>
      </c>
      <c r="E53" s="1" t="s">
        <v>26</v>
      </c>
      <c r="F53" s="1" t="s">
        <v>27</v>
      </c>
      <c r="G53" s="1" t="s">
        <v>28</v>
      </c>
      <c r="H53" s="1" t="s">
        <v>2</v>
      </c>
      <c r="I53" s="1" t="s">
        <v>150</v>
      </c>
      <c r="J53" s="1" t="s">
        <v>30</v>
      </c>
      <c r="K53" s="1" t="s">
        <v>31</v>
      </c>
      <c r="L53" s="1" t="s">
        <v>32</v>
      </c>
      <c r="M53" s="1" t="s">
        <v>34</v>
      </c>
      <c r="N53" s="1"/>
    </row>
    <row r="54" spans="1:14" x14ac:dyDescent="0.45">
      <c r="A54" s="1" t="s">
        <v>62</v>
      </c>
      <c r="B54" s="1" t="s">
        <v>15</v>
      </c>
      <c r="C54" s="1" t="s">
        <v>768</v>
      </c>
      <c r="D54" s="1" t="s">
        <v>35</v>
      </c>
      <c r="E54" s="1" t="s">
        <v>36</v>
      </c>
      <c r="F54" s="1" t="s">
        <v>8</v>
      </c>
      <c r="G54" s="1">
        <v>526.39555959017196</v>
      </c>
      <c r="H54" s="1" t="s">
        <v>9</v>
      </c>
      <c r="I54" s="1" t="s">
        <v>39</v>
      </c>
      <c r="J54" s="1" t="s">
        <v>37</v>
      </c>
      <c r="K54" s="1" t="s">
        <v>37</v>
      </c>
      <c r="L54" s="1" t="s">
        <v>38</v>
      </c>
      <c r="M54" s="1" t="s">
        <v>40</v>
      </c>
      <c r="N54" s="1"/>
    </row>
    <row r="55" spans="1:14" x14ac:dyDescent="0.45">
      <c r="A55" s="1" t="s">
        <v>74</v>
      </c>
      <c r="B55" s="1" t="s">
        <v>15</v>
      </c>
      <c r="C55" s="1">
        <v>1</v>
      </c>
      <c r="D55" s="1" t="s">
        <v>35</v>
      </c>
      <c r="E55" s="1" t="s">
        <v>36</v>
      </c>
      <c r="F55" s="1" t="s">
        <v>8</v>
      </c>
      <c r="G55" s="1">
        <v>526.39555959017196</v>
      </c>
      <c r="H55" s="1" t="s">
        <v>9</v>
      </c>
      <c r="I55" s="1" t="s">
        <v>39</v>
      </c>
      <c r="J55" s="1" t="s">
        <v>37</v>
      </c>
      <c r="K55" s="1" t="s">
        <v>37</v>
      </c>
      <c r="L55" s="1" t="s">
        <v>38</v>
      </c>
      <c r="M55" s="1" t="s">
        <v>40</v>
      </c>
      <c r="N55" s="1"/>
    </row>
    <row r="56" spans="1:14" x14ac:dyDescent="0.45">
      <c r="A56" s="1" t="s">
        <v>86</v>
      </c>
      <c r="B56" s="1" t="s">
        <v>15</v>
      </c>
      <c r="C56" s="1">
        <v>1</v>
      </c>
      <c r="D56" s="1" t="s">
        <v>35</v>
      </c>
      <c r="E56" s="1" t="s">
        <v>36</v>
      </c>
      <c r="F56" s="1" t="s">
        <v>8</v>
      </c>
      <c r="G56" s="1">
        <v>526.39555959017196</v>
      </c>
      <c r="H56" s="1" t="s">
        <v>9</v>
      </c>
      <c r="I56" s="1" t="s">
        <v>39</v>
      </c>
      <c r="J56" s="1" t="s">
        <v>37</v>
      </c>
      <c r="K56" s="1" t="s">
        <v>37</v>
      </c>
      <c r="L56" s="1" t="s">
        <v>38</v>
      </c>
      <c r="M56" s="1" t="s">
        <v>40</v>
      </c>
      <c r="N56" s="1"/>
    </row>
    <row r="57" spans="1:14" x14ac:dyDescent="0.45">
      <c r="A57" s="1" t="s">
        <v>98</v>
      </c>
      <c r="B57" s="1" t="s">
        <v>15</v>
      </c>
      <c r="C57" s="1">
        <v>2</v>
      </c>
      <c r="D57" s="1" t="s">
        <v>35</v>
      </c>
      <c r="E57" s="1" t="s">
        <v>36</v>
      </c>
      <c r="F57" s="1" t="s">
        <v>8</v>
      </c>
      <c r="G57" s="1">
        <v>526.39555959017196</v>
      </c>
      <c r="H57" s="1" t="s">
        <v>9</v>
      </c>
      <c r="I57" s="1" t="s">
        <v>39</v>
      </c>
      <c r="J57" s="1" t="s">
        <v>37</v>
      </c>
      <c r="K57" s="1" t="s">
        <v>37</v>
      </c>
      <c r="L57" s="1" t="s">
        <v>38</v>
      </c>
      <c r="M57" s="1" t="s">
        <v>40</v>
      </c>
      <c r="N57" s="1"/>
    </row>
    <row r="58" spans="1:14" x14ac:dyDescent="0.45">
      <c r="A58" s="1" t="s">
        <v>110</v>
      </c>
      <c r="B58" s="1" t="s">
        <v>15</v>
      </c>
      <c r="C58" s="1">
        <v>2</v>
      </c>
      <c r="D58" s="1" t="s">
        <v>35</v>
      </c>
      <c r="E58" s="1" t="s">
        <v>36</v>
      </c>
      <c r="F58" s="1" t="s">
        <v>8</v>
      </c>
      <c r="G58" s="1">
        <v>526.39555959017196</v>
      </c>
      <c r="H58" s="1">
        <v>38.89</v>
      </c>
      <c r="I58" s="1" t="s">
        <v>151</v>
      </c>
      <c r="J58" s="1" t="s">
        <v>37</v>
      </c>
      <c r="K58" s="1" t="s">
        <v>37</v>
      </c>
      <c r="L58" s="1" t="s">
        <v>38</v>
      </c>
      <c r="M58" s="1" t="s">
        <v>40</v>
      </c>
      <c r="N58" s="1"/>
    </row>
    <row r="59" spans="1:14" x14ac:dyDescent="0.45">
      <c r="A59" s="1" t="s">
        <v>122</v>
      </c>
      <c r="B59" s="1" t="s">
        <v>15</v>
      </c>
      <c r="C59" s="1">
        <v>2</v>
      </c>
      <c r="D59" s="1" t="s">
        <v>35</v>
      </c>
      <c r="E59" s="1" t="s">
        <v>36</v>
      </c>
      <c r="F59" s="1" t="s">
        <v>8</v>
      </c>
      <c r="G59" s="1">
        <v>526.39555959017196</v>
      </c>
      <c r="H59" s="1" t="s">
        <v>9</v>
      </c>
      <c r="I59" s="1" t="s">
        <v>39</v>
      </c>
      <c r="J59" s="1" t="s">
        <v>37</v>
      </c>
      <c r="K59" s="1" t="s">
        <v>37</v>
      </c>
      <c r="L59" s="1" t="s">
        <v>38</v>
      </c>
      <c r="M59" s="1" t="s">
        <v>40</v>
      </c>
      <c r="N59" s="1"/>
    </row>
    <row r="60" spans="1:14" x14ac:dyDescent="0.45">
      <c r="A60" s="1" t="s">
        <v>51</v>
      </c>
      <c r="B60" s="1" t="s">
        <v>15</v>
      </c>
      <c r="C60" s="1">
        <v>3</v>
      </c>
      <c r="D60" s="1" t="s">
        <v>35</v>
      </c>
      <c r="E60" s="1" t="s">
        <v>36</v>
      </c>
      <c r="F60" s="1" t="s">
        <v>8</v>
      </c>
      <c r="G60" s="1">
        <v>526.39555959017196</v>
      </c>
      <c r="H60" s="1" t="s">
        <v>9</v>
      </c>
      <c r="I60" s="1" t="s">
        <v>39</v>
      </c>
      <c r="J60" s="1" t="s">
        <v>37</v>
      </c>
      <c r="K60" s="1" t="s">
        <v>37</v>
      </c>
      <c r="L60" s="1" t="s">
        <v>38</v>
      </c>
      <c r="M60" s="1" t="s">
        <v>40</v>
      </c>
      <c r="N60" s="1"/>
    </row>
    <row r="61" spans="1:14" x14ac:dyDescent="0.45">
      <c r="A61" s="1" t="s">
        <v>63</v>
      </c>
      <c r="B61" s="1" t="s">
        <v>15</v>
      </c>
      <c r="C61" s="1">
        <v>3</v>
      </c>
      <c r="D61" s="1" t="s">
        <v>35</v>
      </c>
      <c r="E61" s="1" t="s">
        <v>36</v>
      </c>
      <c r="F61" s="1" t="s">
        <v>8</v>
      </c>
      <c r="G61" s="1">
        <v>526.39555959017196</v>
      </c>
      <c r="H61" s="1">
        <v>39.44</v>
      </c>
      <c r="I61" s="1" t="s">
        <v>151</v>
      </c>
      <c r="J61" s="1" t="s">
        <v>37</v>
      </c>
      <c r="K61" s="1" t="s">
        <v>37</v>
      </c>
      <c r="L61" s="1" t="s">
        <v>38</v>
      </c>
      <c r="M61" s="1" t="s">
        <v>40</v>
      </c>
      <c r="N61" s="1"/>
    </row>
    <row r="62" spans="1:14" x14ac:dyDescent="0.45">
      <c r="A62" s="1" t="s">
        <v>134</v>
      </c>
      <c r="B62" s="1" t="s">
        <v>15</v>
      </c>
      <c r="C62" s="1">
        <v>3</v>
      </c>
      <c r="D62" s="1" t="s">
        <v>35</v>
      </c>
      <c r="E62" s="1" t="s">
        <v>36</v>
      </c>
      <c r="F62" s="1" t="s">
        <v>8</v>
      </c>
      <c r="G62" s="1">
        <v>526.39555959017196</v>
      </c>
      <c r="H62" s="1" t="s">
        <v>9</v>
      </c>
      <c r="I62" s="1" t="s">
        <v>39</v>
      </c>
      <c r="J62" s="1" t="s">
        <v>37</v>
      </c>
      <c r="K62" s="1" t="s">
        <v>37</v>
      </c>
      <c r="L62" s="1" t="s">
        <v>38</v>
      </c>
      <c r="M62" s="1" t="s">
        <v>40</v>
      </c>
      <c r="N62" s="1"/>
    </row>
    <row r="63" spans="1:14" x14ac:dyDescent="0.45">
      <c r="A63" s="1" t="s">
        <v>75</v>
      </c>
      <c r="B63" s="1" t="s">
        <v>15</v>
      </c>
      <c r="C63" s="1">
        <v>4</v>
      </c>
      <c r="D63" s="1" t="s">
        <v>35</v>
      </c>
      <c r="E63" s="1" t="s">
        <v>36</v>
      </c>
      <c r="F63" s="1" t="s">
        <v>8</v>
      </c>
      <c r="G63" s="1">
        <v>526.39555959017196</v>
      </c>
      <c r="H63" s="1" t="s">
        <v>9</v>
      </c>
      <c r="I63" s="1" t="s">
        <v>39</v>
      </c>
      <c r="J63" s="1" t="s">
        <v>37</v>
      </c>
      <c r="K63" s="1" t="s">
        <v>37</v>
      </c>
      <c r="L63" s="1" t="s">
        <v>38</v>
      </c>
      <c r="M63" s="1" t="s">
        <v>40</v>
      </c>
      <c r="N63" s="1"/>
    </row>
    <row r="64" spans="1:14" x14ac:dyDescent="0.45">
      <c r="A64" s="1" t="s">
        <v>87</v>
      </c>
      <c r="B64" s="1" t="s">
        <v>15</v>
      </c>
      <c r="C64" s="1">
        <v>4</v>
      </c>
      <c r="D64" s="1" t="s">
        <v>35</v>
      </c>
      <c r="E64" s="1" t="s">
        <v>36</v>
      </c>
      <c r="F64" s="1" t="s">
        <v>8</v>
      </c>
      <c r="G64" s="1">
        <v>526.39555959017196</v>
      </c>
      <c r="H64" s="1" t="s">
        <v>9</v>
      </c>
      <c r="I64" s="1" t="s">
        <v>39</v>
      </c>
      <c r="J64" s="1" t="s">
        <v>37</v>
      </c>
      <c r="K64" s="1" t="s">
        <v>37</v>
      </c>
      <c r="L64" s="1" t="s">
        <v>38</v>
      </c>
      <c r="M64" s="1" t="s">
        <v>40</v>
      </c>
      <c r="N64" s="1"/>
    </row>
    <row r="65" spans="1:14" x14ac:dyDescent="0.45">
      <c r="A65" s="1" t="s">
        <v>99</v>
      </c>
      <c r="B65" s="1" t="s">
        <v>15</v>
      </c>
      <c r="C65" s="1">
        <v>4</v>
      </c>
      <c r="D65" s="1" t="s">
        <v>35</v>
      </c>
      <c r="E65" s="1" t="s">
        <v>36</v>
      </c>
      <c r="F65" s="1" t="s">
        <v>8</v>
      </c>
      <c r="G65" s="1">
        <v>526.39555959017196</v>
      </c>
      <c r="H65" s="1" t="s">
        <v>9</v>
      </c>
      <c r="I65" s="1" t="s">
        <v>39</v>
      </c>
      <c r="J65" s="1" t="s">
        <v>37</v>
      </c>
      <c r="K65" s="1" t="s">
        <v>37</v>
      </c>
      <c r="L65" s="1" t="s">
        <v>38</v>
      </c>
      <c r="M65" s="1" t="s">
        <v>40</v>
      </c>
      <c r="N65" s="1"/>
    </row>
    <row r="66" spans="1:14" x14ac:dyDescent="0.45">
      <c r="A66" s="1" t="s">
        <v>111</v>
      </c>
      <c r="B66" s="1" t="s">
        <v>15</v>
      </c>
      <c r="C66" s="1">
        <v>5</v>
      </c>
      <c r="D66" s="1" t="s">
        <v>35</v>
      </c>
      <c r="E66" s="1" t="s">
        <v>36</v>
      </c>
      <c r="F66" s="1" t="s">
        <v>8</v>
      </c>
      <c r="G66" s="1">
        <v>526.39555959017196</v>
      </c>
      <c r="H66" s="1" t="s">
        <v>9</v>
      </c>
      <c r="I66" s="1" t="s">
        <v>39</v>
      </c>
      <c r="J66" s="1" t="s">
        <v>37</v>
      </c>
      <c r="K66" s="1" t="s">
        <v>37</v>
      </c>
      <c r="L66" s="1" t="s">
        <v>38</v>
      </c>
      <c r="M66" s="1" t="s">
        <v>40</v>
      </c>
      <c r="N66" s="1"/>
    </row>
    <row r="67" spans="1:14" x14ac:dyDescent="0.45">
      <c r="A67" s="1" t="s">
        <v>123</v>
      </c>
      <c r="B67" s="1" t="s">
        <v>15</v>
      </c>
      <c r="C67" s="1">
        <v>5</v>
      </c>
      <c r="D67" s="1" t="s">
        <v>35</v>
      </c>
      <c r="E67" s="1" t="s">
        <v>36</v>
      </c>
      <c r="F67" s="1" t="s">
        <v>8</v>
      </c>
      <c r="G67" s="1">
        <v>526.39555959017196</v>
      </c>
      <c r="H67" s="1" t="s">
        <v>9</v>
      </c>
      <c r="I67" s="1" t="s">
        <v>39</v>
      </c>
      <c r="J67" s="1" t="s">
        <v>37</v>
      </c>
      <c r="K67" s="1" t="s">
        <v>37</v>
      </c>
      <c r="L67" s="1" t="s">
        <v>38</v>
      </c>
      <c r="M67" s="1" t="s">
        <v>40</v>
      </c>
      <c r="N67" s="1"/>
    </row>
    <row r="68" spans="1:14" x14ac:dyDescent="0.45">
      <c r="A68" s="1" t="s">
        <v>135</v>
      </c>
      <c r="B68" s="1" t="s">
        <v>15</v>
      </c>
      <c r="C68" s="1">
        <v>5</v>
      </c>
      <c r="D68" s="1" t="s">
        <v>35</v>
      </c>
      <c r="E68" s="1" t="s">
        <v>36</v>
      </c>
      <c r="F68" s="1" t="s">
        <v>8</v>
      </c>
      <c r="G68" s="1">
        <v>526.39555959017196</v>
      </c>
      <c r="H68" s="1" t="s">
        <v>9</v>
      </c>
      <c r="I68" s="1" t="s">
        <v>39</v>
      </c>
      <c r="J68" s="1" t="s">
        <v>37</v>
      </c>
      <c r="K68" s="1" t="s">
        <v>37</v>
      </c>
      <c r="L68" s="1" t="s">
        <v>38</v>
      </c>
      <c r="M68" s="1" t="s">
        <v>40</v>
      </c>
      <c r="N68" s="1"/>
    </row>
    <row r="69" spans="1:14" x14ac:dyDescent="0.45">
      <c r="A69" s="1" t="s">
        <v>52</v>
      </c>
      <c r="B69" s="1" t="s">
        <v>15</v>
      </c>
      <c r="C69" s="1">
        <v>6</v>
      </c>
      <c r="D69" s="1" t="s">
        <v>35</v>
      </c>
      <c r="E69" s="1" t="s">
        <v>36</v>
      </c>
      <c r="F69" s="1" t="s">
        <v>8</v>
      </c>
      <c r="G69" s="1">
        <v>526.39555959017196</v>
      </c>
      <c r="H69" s="1" t="s">
        <v>9</v>
      </c>
      <c r="I69" s="1" t="s">
        <v>39</v>
      </c>
      <c r="J69" s="1" t="s">
        <v>37</v>
      </c>
      <c r="K69" s="1" t="s">
        <v>37</v>
      </c>
      <c r="L69" s="1" t="s">
        <v>38</v>
      </c>
      <c r="M69" s="1" t="s">
        <v>40</v>
      </c>
      <c r="N69" s="1"/>
    </row>
    <row r="70" spans="1:14" x14ac:dyDescent="0.45">
      <c r="A70" s="1" t="s">
        <v>64</v>
      </c>
      <c r="B70" s="1" t="s">
        <v>15</v>
      </c>
      <c r="C70" s="1">
        <v>6</v>
      </c>
      <c r="D70" s="1" t="s">
        <v>35</v>
      </c>
      <c r="E70" s="1" t="s">
        <v>36</v>
      </c>
      <c r="F70" s="1" t="s">
        <v>8</v>
      </c>
      <c r="G70" s="1">
        <v>526.39555959017196</v>
      </c>
      <c r="H70" s="1" t="s">
        <v>9</v>
      </c>
      <c r="I70" s="1" t="s">
        <v>39</v>
      </c>
      <c r="J70" s="1" t="s">
        <v>37</v>
      </c>
      <c r="K70" s="1" t="s">
        <v>37</v>
      </c>
      <c r="L70" s="1" t="s">
        <v>38</v>
      </c>
      <c r="M70" s="1" t="s">
        <v>40</v>
      </c>
      <c r="N70" s="1"/>
    </row>
    <row r="71" spans="1:14" x14ac:dyDescent="0.45">
      <c r="A71" s="1" t="s">
        <v>76</v>
      </c>
      <c r="B71" s="1" t="s">
        <v>15</v>
      </c>
      <c r="C71" s="1">
        <v>6</v>
      </c>
      <c r="D71" s="1" t="s">
        <v>35</v>
      </c>
      <c r="E71" s="1" t="s">
        <v>36</v>
      </c>
      <c r="F71" s="1" t="s">
        <v>8</v>
      </c>
      <c r="G71" s="1">
        <v>526.39555959017196</v>
      </c>
      <c r="H71" s="1" t="s">
        <v>9</v>
      </c>
      <c r="I71" s="1" t="s">
        <v>39</v>
      </c>
      <c r="J71" s="1" t="s">
        <v>37</v>
      </c>
      <c r="K71" s="1" t="s">
        <v>37</v>
      </c>
      <c r="L71" s="1" t="s">
        <v>38</v>
      </c>
      <c r="M71" s="1" t="s">
        <v>40</v>
      </c>
      <c r="N71" s="1"/>
    </row>
    <row r="72" spans="1:14" x14ac:dyDescent="0.45">
      <c r="A72" s="1" t="s">
        <v>88</v>
      </c>
      <c r="B72" s="1" t="s">
        <v>15</v>
      </c>
      <c r="C72" s="1">
        <v>7</v>
      </c>
      <c r="D72" s="1" t="s">
        <v>35</v>
      </c>
      <c r="E72" s="1" t="s">
        <v>36</v>
      </c>
      <c r="F72" s="1" t="s">
        <v>8</v>
      </c>
      <c r="G72" s="1">
        <v>526.39555959017196</v>
      </c>
      <c r="H72" s="1" t="s">
        <v>9</v>
      </c>
      <c r="I72" s="1" t="s">
        <v>39</v>
      </c>
      <c r="J72" s="1" t="s">
        <v>37</v>
      </c>
      <c r="K72" s="1" t="s">
        <v>37</v>
      </c>
      <c r="L72" s="1" t="s">
        <v>38</v>
      </c>
      <c r="M72" s="1" t="s">
        <v>40</v>
      </c>
      <c r="N72" s="1"/>
    </row>
    <row r="73" spans="1:14" x14ac:dyDescent="0.45">
      <c r="A73" s="1" t="s">
        <v>100</v>
      </c>
      <c r="B73" s="1" t="s">
        <v>15</v>
      </c>
      <c r="C73" s="1">
        <v>7</v>
      </c>
      <c r="D73" s="1" t="s">
        <v>35</v>
      </c>
      <c r="E73" s="1" t="s">
        <v>36</v>
      </c>
      <c r="F73" s="1" t="s">
        <v>8</v>
      </c>
      <c r="G73" s="1">
        <v>526.39555959017196</v>
      </c>
      <c r="H73" s="1" t="s">
        <v>9</v>
      </c>
      <c r="I73" s="1" t="s">
        <v>39</v>
      </c>
      <c r="J73" s="1" t="s">
        <v>37</v>
      </c>
      <c r="K73" s="1" t="s">
        <v>37</v>
      </c>
      <c r="L73" s="1" t="s">
        <v>38</v>
      </c>
      <c r="M73" s="1" t="s">
        <v>40</v>
      </c>
      <c r="N73" s="1"/>
    </row>
    <row r="74" spans="1:14" x14ac:dyDescent="0.45">
      <c r="A74" s="1" t="s">
        <v>112</v>
      </c>
      <c r="B74" s="1" t="s">
        <v>15</v>
      </c>
      <c r="C74" s="1">
        <v>7</v>
      </c>
      <c r="D74" s="1" t="s">
        <v>35</v>
      </c>
      <c r="E74" s="1" t="s">
        <v>36</v>
      </c>
      <c r="F74" s="1" t="s">
        <v>8</v>
      </c>
      <c r="G74" s="1">
        <v>526.39555959017196</v>
      </c>
      <c r="H74" s="1" t="s">
        <v>9</v>
      </c>
      <c r="I74" s="1" t="s">
        <v>39</v>
      </c>
      <c r="J74" s="1" t="s">
        <v>37</v>
      </c>
      <c r="K74" s="1" t="s">
        <v>37</v>
      </c>
      <c r="L74" s="1" t="s">
        <v>38</v>
      </c>
      <c r="M74" s="1" t="s">
        <v>40</v>
      </c>
      <c r="N74" s="1"/>
    </row>
    <row r="75" spans="1:14" x14ac:dyDescent="0.45">
      <c r="A75" s="1" t="s">
        <v>53</v>
      </c>
      <c r="B75" s="1" t="s">
        <v>15</v>
      </c>
      <c r="C75" s="1">
        <v>8</v>
      </c>
      <c r="D75" s="1" t="s">
        <v>35</v>
      </c>
      <c r="E75" s="1" t="s">
        <v>36</v>
      </c>
      <c r="F75" s="1" t="s">
        <v>8</v>
      </c>
      <c r="G75" s="1">
        <v>526.39555959017196</v>
      </c>
      <c r="H75" s="1" t="s">
        <v>9</v>
      </c>
      <c r="I75" s="1" t="s">
        <v>39</v>
      </c>
      <c r="J75" s="1" t="s">
        <v>37</v>
      </c>
      <c r="K75" s="1" t="s">
        <v>37</v>
      </c>
      <c r="L75" s="1" t="s">
        <v>38</v>
      </c>
      <c r="M75" s="1" t="s">
        <v>40</v>
      </c>
      <c r="N75" s="1"/>
    </row>
    <row r="76" spans="1:14" x14ac:dyDescent="0.45">
      <c r="A76" s="1" t="s">
        <v>124</v>
      </c>
      <c r="B76" s="1" t="s">
        <v>15</v>
      </c>
      <c r="C76" s="1">
        <v>8</v>
      </c>
      <c r="D76" s="1" t="s">
        <v>35</v>
      </c>
      <c r="E76" s="1" t="s">
        <v>36</v>
      </c>
      <c r="F76" s="1" t="s">
        <v>8</v>
      </c>
      <c r="G76" s="1">
        <v>526.39555959017196</v>
      </c>
      <c r="H76" s="1" t="s">
        <v>9</v>
      </c>
      <c r="I76" s="1" t="s">
        <v>39</v>
      </c>
      <c r="J76" s="1" t="s">
        <v>37</v>
      </c>
      <c r="K76" s="1" t="s">
        <v>37</v>
      </c>
      <c r="L76" s="1" t="s">
        <v>38</v>
      </c>
      <c r="M76" s="1" t="s">
        <v>40</v>
      </c>
      <c r="N76" s="1"/>
    </row>
    <row r="77" spans="1:14" x14ac:dyDescent="0.45">
      <c r="A77" s="1" t="s">
        <v>136</v>
      </c>
      <c r="B77" s="1" t="s">
        <v>15</v>
      </c>
      <c r="C77" s="1">
        <v>8</v>
      </c>
      <c r="D77" s="1" t="s">
        <v>35</v>
      </c>
      <c r="E77" s="1" t="s">
        <v>36</v>
      </c>
      <c r="F77" s="1" t="s">
        <v>8</v>
      </c>
      <c r="G77" s="1">
        <v>526.39555959017196</v>
      </c>
      <c r="H77" s="1" t="s">
        <v>9</v>
      </c>
      <c r="I77" s="1" t="s">
        <v>39</v>
      </c>
      <c r="J77" s="1" t="s">
        <v>37</v>
      </c>
      <c r="K77" s="1" t="s">
        <v>37</v>
      </c>
      <c r="L77" s="1" t="s">
        <v>38</v>
      </c>
      <c r="M77" s="1" t="s">
        <v>40</v>
      </c>
      <c r="N77" s="1"/>
    </row>
    <row r="78" spans="1:14" x14ac:dyDescent="0.45">
      <c r="A78" s="1" t="s">
        <v>65</v>
      </c>
      <c r="B78" s="1" t="s">
        <v>15</v>
      </c>
      <c r="C78" s="1">
        <v>9</v>
      </c>
      <c r="D78" s="1" t="s">
        <v>35</v>
      </c>
      <c r="E78" s="1" t="s">
        <v>36</v>
      </c>
      <c r="F78" s="1" t="s">
        <v>8</v>
      </c>
      <c r="G78" s="1">
        <v>526.39555959017196</v>
      </c>
      <c r="H78" s="1" t="s">
        <v>9</v>
      </c>
      <c r="I78" s="1" t="s">
        <v>39</v>
      </c>
      <c r="J78" s="1" t="s">
        <v>37</v>
      </c>
      <c r="K78" s="1" t="s">
        <v>37</v>
      </c>
      <c r="L78" s="1" t="s">
        <v>38</v>
      </c>
      <c r="M78" s="1" t="s">
        <v>40</v>
      </c>
      <c r="N78" s="1"/>
    </row>
    <row r="79" spans="1:14" x14ac:dyDescent="0.45">
      <c r="A79" s="1" t="s">
        <v>77</v>
      </c>
      <c r="B79" s="1" t="s">
        <v>15</v>
      </c>
      <c r="C79" s="1">
        <v>9</v>
      </c>
      <c r="D79" s="1" t="s">
        <v>35</v>
      </c>
      <c r="E79" s="1" t="s">
        <v>36</v>
      </c>
      <c r="F79" s="1" t="s">
        <v>8</v>
      </c>
      <c r="G79" s="1">
        <v>526.39555959017196</v>
      </c>
      <c r="H79" s="1" t="s">
        <v>9</v>
      </c>
      <c r="I79" s="1" t="s">
        <v>39</v>
      </c>
      <c r="J79" s="1" t="s">
        <v>37</v>
      </c>
      <c r="K79" s="1" t="s">
        <v>37</v>
      </c>
      <c r="L79" s="1" t="s">
        <v>38</v>
      </c>
      <c r="M79" s="1" t="s">
        <v>40</v>
      </c>
      <c r="N79" s="1"/>
    </row>
    <row r="80" spans="1:14" x14ac:dyDescent="0.45">
      <c r="A80" s="1" t="s">
        <v>89</v>
      </c>
      <c r="B80" s="1" t="s">
        <v>15</v>
      </c>
      <c r="C80" s="1">
        <v>9</v>
      </c>
      <c r="D80" s="1" t="s">
        <v>35</v>
      </c>
      <c r="E80" s="1" t="s">
        <v>36</v>
      </c>
      <c r="F80" s="1" t="s">
        <v>8</v>
      </c>
      <c r="G80" s="1">
        <v>526.39555959017196</v>
      </c>
      <c r="H80" s="1" t="s">
        <v>9</v>
      </c>
      <c r="I80" s="1" t="s">
        <v>39</v>
      </c>
      <c r="J80" s="1" t="s">
        <v>37</v>
      </c>
      <c r="K80" s="1" t="s">
        <v>37</v>
      </c>
      <c r="L80" s="1" t="s">
        <v>38</v>
      </c>
      <c r="M80" s="1" t="s">
        <v>40</v>
      </c>
      <c r="N80" s="1"/>
    </row>
    <row r="81" spans="1:14" x14ac:dyDescent="0.45">
      <c r="A81" s="1" t="s">
        <v>101</v>
      </c>
      <c r="B81" s="1" t="s">
        <v>15</v>
      </c>
      <c r="C81" s="1">
        <v>10</v>
      </c>
      <c r="D81" s="1" t="s">
        <v>35</v>
      </c>
      <c r="E81" s="1" t="s">
        <v>36</v>
      </c>
      <c r="F81" s="1" t="s">
        <v>8</v>
      </c>
      <c r="G81" s="1">
        <v>526.39555959017196</v>
      </c>
      <c r="H81" s="1" t="s">
        <v>9</v>
      </c>
      <c r="I81" s="1" t="s">
        <v>39</v>
      </c>
      <c r="J81" s="1" t="s">
        <v>37</v>
      </c>
      <c r="K81" s="1" t="s">
        <v>37</v>
      </c>
      <c r="L81" s="1" t="s">
        <v>38</v>
      </c>
      <c r="M81" s="1" t="s">
        <v>40</v>
      </c>
      <c r="N81" s="1"/>
    </row>
    <row r="82" spans="1:14" x14ac:dyDescent="0.45">
      <c r="A82" s="1" t="s">
        <v>113</v>
      </c>
      <c r="B82" s="1" t="s">
        <v>15</v>
      </c>
      <c r="C82" s="1">
        <v>10</v>
      </c>
      <c r="D82" s="1" t="s">
        <v>35</v>
      </c>
      <c r="E82" s="1" t="s">
        <v>36</v>
      </c>
      <c r="F82" s="1" t="s">
        <v>8</v>
      </c>
      <c r="G82" s="1">
        <v>526.39555959017196</v>
      </c>
      <c r="H82" s="1" t="s">
        <v>9</v>
      </c>
      <c r="I82" s="1" t="s">
        <v>39</v>
      </c>
      <c r="J82" s="1" t="s">
        <v>37</v>
      </c>
      <c r="K82" s="1" t="s">
        <v>37</v>
      </c>
      <c r="L82" s="1" t="s">
        <v>38</v>
      </c>
      <c r="M82" s="1" t="s">
        <v>40</v>
      </c>
      <c r="N82" s="1"/>
    </row>
    <row r="83" spans="1:14" x14ac:dyDescent="0.45">
      <c r="A83" s="1" t="s">
        <v>125</v>
      </c>
      <c r="B83" s="1" t="s">
        <v>15</v>
      </c>
      <c r="C83" s="1">
        <v>10</v>
      </c>
      <c r="D83" s="1" t="s">
        <v>35</v>
      </c>
      <c r="E83" s="1" t="s">
        <v>36</v>
      </c>
      <c r="F83" s="1" t="s">
        <v>8</v>
      </c>
      <c r="G83" s="1">
        <v>526.39555959017196</v>
      </c>
      <c r="H83" s="1" t="s">
        <v>9</v>
      </c>
      <c r="I83" s="1" t="s">
        <v>39</v>
      </c>
      <c r="J83" s="1" t="s">
        <v>37</v>
      </c>
      <c r="K83" s="1" t="s">
        <v>37</v>
      </c>
      <c r="L83" s="1" t="s">
        <v>38</v>
      </c>
      <c r="M83" s="1" t="s">
        <v>40</v>
      </c>
      <c r="N83" s="1"/>
    </row>
    <row r="84" spans="1:14" x14ac:dyDescent="0.45">
      <c r="A84" s="1" t="s">
        <v>54</v>
      </c>
      <c r="B84" s="1" t="s">
        <v>15</v>
      </c>
      <c r="C84" s="1">
        <v>11</v>
      </c>
      <c r="D84" s="1" t="s">
        <v>35</v>
      </c>
      <c r="E84" s="1" t="s">
        <v>36</v>
      </c>
      <c r="F84" s="1" t="s">
        <v>8</v>
      </c>
      <c r="G84" s="1">
        <v>526.39555959017196</v>
      </c>
      <c r="H84" s="1">
        <v>38.53</v>
      </c>
      <c r="I84" s="1" t="s">
        <v>151</v>
      </c>
      <c r="J84" s="1" t="s">
        <v>37</v>
      </c>
      <c r="K84" s="1" t="s">
        <v>37</v>
      </c>
      <c r="L84" s="1" t="s">
        <v>38</v>
      </c>
      <c r="M84" s="1" t="s">
        <v>40</v>
      </c>
      <c r="N84" s="1"/>
    </row>
    <row r="85" spans="1:14" x14ac:dyDescent="0.45">
      <c r="A85" s="1" t="s">
        <v>66</v>
      </c>
      <c r="B85" s="1" t="s">
        <v>15</v>
      </c>
      <c r="C85" s="1">
        <v>11</v>
      </c>
      <c r="D85" s="1" t="s">
        <v>35</v>
      </c>
      <c r="E85" s="1" t="s">
        <v>36</v>
      </c>
      <c r="F85" s="1" t="s">
        <v>8</v>
      </c>
      <c r="G85" s="1">
        <v>526.39555959017196</v>
      </c>
      <c r="H85" s="1" t="s">
        <v>9</v>
      </c>
      <c r="I85" s="1" t="s">
        <v>39</v>
      </c>
      <c r="J85" s="1" t="s">
        <v>37</v>
      </c>
      <c r="K85" s="1" t="s">
        <v>37</v>
      </c>
      <c r="L85" s="1" t="s">
        <v>38</v>
      </c>
      <c r="M85" s="1" t="s">
        <v>40</v>
      </c>
      <c r="N85" s="1"/>
    </row>
    <row r="86" spans="1:14" x14ac:dyDescent="0.45">
      <c r="A86" s="1" t="s">
        <v>137</v>
      </c>
      <c r="B86" s="1" t="s">
        <v>15</v>
      </c>
      <c r="C86" s="1">
        <v>11</v>
      </c>
      <c r="D86" s="1" t="s">
        <v>35</v>
      </c>
      <c r="E86" s="1" t="s">
        <v>36</v>
      </c>
      <c r="F86" s="1" t="s">
        <v>8</v>
      </c>
      <c r="G86" s="1">
        <v>526.39555959017196</v>
      </c>
      <c r="H86" s="1" t="s">
        <v>9</v>
      </c>
      <c r="I86" s="1" t="s">
        <v>39</v>
      </c>
      <c r="J86" s="1" t="s">
        <v>37</v>
      </c>
      <c r="K86" s="1" t="s">
        <v>37</v>
      </c>
      <c r="L86" s="1" t="s">
        <v>38</v>
      </c>
      <c r="M86" s="1" t="s">
        <v>40</v>
      </c>
      <c r="N86" s="1"/>
    </row>
    <row r="87" spans="1:14" x14ac:dyDescent="0.45">
      <c r="A87" s="1" t="s">
        <v>78</v>
      </c>
      <c r="B87" s="1" t="s">
        <v>15</v>
      </c>
      <c r="C87" s="1">
        <v>12</v>
      </c>
      <c r="D87" s="1" t="s">
        <v>35</v>
      </c>
      <c r="E87" s="1" t="s">
        <v>36</v>
      </c>
      <c r="F87" s="1" t="s">
        <v>8</v>
      </c>
      <c r="G87" s="1">
        <v>526.39555959017196</v>
      </c>
      <c r="H87" s="1" t="s">
        <v>9</v>
      </c>
      <c r="I87" s="1" t="s">
        <v>39</v>
      </c>
      <c r="J87" s="1" t="s">
        <v>37</v>
      </c>
      <c r="K87" s="1" t="s">
        <v>37</v>
      </c>
      <c r="L87" s="1" t="s">
        <v>38</v>
      </c>
      <c r="M87" s="1" t="s">
        <v>40</v>
      </c>
      <c r="N87" s="1"/>
    </row>
    <row r="88" spans="1:14" x14ac:dyDescent="0.45">
      <c r="A88" s="1" t="s">
        <v>90</v>
      </c>
      <c r="B88" s="1" t="s">
        <v>15</v>
      </c>
      <c r="C88" s="1">
        <v>12</v>
      </c>
      <c r="D88" s="1" t="s">
        <v>35</v>
      </c>
      <c r="E88" s="1" t="s">
        <v>36</v>
      </c>
      <c r="F88" s="1" t="s">
        <v>8</v>
      </c>
      <c r="G88" s="1">
        <v>526.39555959017196</v>
      </c>
      <c r="H88" s="1" t="s">
        <v>9</v>
      </c>
      <c r="I88" s="1" t="s">
        <v>39</v>
      </c>
      <c r="J88" s="1" t="s">
        <v>37</v>
      </c>
      <c r="K88" s="1" t="s">
        <v>37</v>
      </c>
      <c r="L88" s="1" t="s">
        <v>38</v>
      </c>
      <c r="M88" s="1" t="s">
        <v>40</v>
      </c>
      <c r="N88" s="1"/>
    </row>
    <row r="89" spans="1:14" x14ac:dyDescent="0.45">
      <c r="A89" s="1" t="s">
        <v>102</v>
      </c>
      <c r="B89" s="1" t="s">
        <v>15</v>
      </c>
      <c r="C89" s="1">
        <v>12</v>
      </c>
      <c r="D89" s="1" t="s">
        <v>35</v>
      </c>
      <c r="E89" s="1" t="s">
        <v>36</v>
      </c>
      <c r="F89" s="1" t="s">
        <v>8</v>
      </c>
      <c r="G89" s="1">
        <v>526.39555959017196</v>
      </c>
      <c r="H89" s="1" t="s">
        <v>9</v>
      </c>
      <c r="I89" s="1" t="s">
        <v>39</v>
      </c>
      <c r="J89" s="1" t="s">
        <v>37</v>
      </c>
      <c r="K89" s="1" t="s">
        <v>37</v>
      </c>
      <c r="L89" s="1" t="s">
        <v>38</v>
      </c>
      <c r="M89" s="1" t="s">
        <v>40</v>
      </c>
      <c r="N89" s="1"/>
    </row>
    <row r="90" spans="1:14" x14ac:dyDescent="0.45">
      <c r="A90" s="1" t="s">
        <v>114</v>
      </c>
      <c r="B90" s="1" t="s">
        <v>15</v>
      </c>
      <c r="C90" s="1">
        <v>13</v>
      </c>
      <c r="D90" s="1" t="s">
        <v>35</v>
      </c>
      <c r="E90" s="1" t="s">
        <v>36</v>
      </c>
      <c r="F90" s="1" t="s">
        <v>8</v>
      </c>
      <c r="G90" s="1">
        <v>526.39555959017196</v>
      </c>
      <c r="H90" s="1" t="s">
        <v>9</v>
      </c>
      <c r="I90" s="1" t="s">
        <v>39</v>
      </c>
      <c r="J90" s="1" t="s">
        <v>37</v>
      </c>
      <c r="K90" s="1" t="s">
        <v>37</v>
      </c>
      <c r="L90" s="1" t="s">
        <v>38</v>
      </c>
      <c r="M90" s="1" t="s">
        <v>40</v>
      </c>
      <c r="N90" s="1"/>
    </row>
    <row r="91" spans="1:14" x14ac:dyDescent="0.45">
      <c r="A91" s="1" t="s">
        <v>126</v>
      </c>
      <c r="B91" s="1" t="s">
        <v>15</v>
      </c>
      <c r="C91" s="1">
        <v>13</v>
      </c>
      <c r="D91" s="1" t="s">
        <v>35</v>
      </c>
      <c r="E91" s="1" t="s">
        <v>36</v>
      </c>
      <c r="F91" s="1" t="s">
        <v>8</v>
      </c>
      <c r="G91" s="1">
        <v>526.39555959017196</v>
      </c>
      <c r="H91" s="1" t="s">
        <v>9</v>
      </c>
      <c r="I91" s="1" t="s">
        <v>39</v>
      </c>
      <c r="J91" s="1" t="s">
        <v>37</v>
      </c>
      <c r="K91" s="1" t="s">
        <v>37</v>
      </c>
      <c r="L91" s="1" t="s">
        <v>38</v>
      </c>
      <c r="M91" s="1" t="s">
        <v>40</v>
      </c>
      <c r="N91" s="1"/>
    </row>
    <row r="92" spans="1:14" x14ac:dyDescent="0.45">
      <c r="A92" s="1" t="s">
        <v>138</v>
      </c>
      <c r="B92" s="1" t="s">
        <v>15</v>
      </c>
      <c r="C92" s="1">
        <v>13</v>
      </c>
      <c r="D92" s="1" t="s">
        <v>35</v>
      </c>
      <c r="E92" s="1" t="s">
        <v>36</v>
      </c>
      <c r="F92" s="1" t="s">
        <v>8</v>
      </c>
      <c r="G92" s="1">
        <v>526.39555959017196</v>
      </c>
      <c r="H92" s="1" t="s">
        <v>9</v>
      </c>
      <c r="I92" s="1" t="s">
        <v>39</v>
      </c>
      <c r="J92" s="1" t="s">
        <v>37</v>
      </c>
      <c r="K92" s="1" t="s">
        <v>37</v>
      </c>
      <c r="L92" s="1" t="s">
        <v>38</v>
      </c>
      <c r="M92" s="1" t="s">
        <v>40</v>
      </c>
      <c r="N92" s="1"/>
    </row>
    <row r="93" spans="1:14" x14ac:dyDescent="0.45">
      <c r="A93" s="1" t="s">
        <v>55</v>
      </c>
      <c r="B93" s="1" t="s">
        <v>15</v>
      </c>
      <c r="C93" s="1">
        <v>14</v>
      </c>
      <c r="D93" s="1" t="s">
        <v>35</v>
      </c>
      <c r="E93" s="1" t="s">
        <v>36</v>
      </c>
      <c r="F93" s="1" t="s">
        <v>8</v>
      </c>
      <c r="G93" s="1">
        <v>526.39555959017196</v>
      </c>
      <c r="H93" s="1" t="s">
        <v>9</v>
      </c>
      <c r="I93" s="1" t="s">
        <v>39</v>
      </c>
      <c r="J93" s="1" t="s">
        <v>37</v>
      </c>
      <c r="K93" s="1" t="s">
        <v>37</v>
      </c>
      <c r="L93" s="1" t="s">
        <v>38</v>
      </c>
      <c r="M93" s="1" t="s">
        <v>40</v>
      </c>
      <c r="N93" s="1"/>
    </row>
    <row r="94" spans="1:14" x14ac:dyDescent="0.45">
      <c r="A94" s="1" t="s">
        <v>67</v>
      </c>
      <c r="B94" s="1" t="s">
        <v>15</v>
      </c>
      <c r="C94" s="1">
        <v>14</v>
      </c>
      <c r="D94" s="1" t="s">
        <v>35</v>
      </c>
      <c r="E94" s="1" t="s">
        <v>36</v>
      </c>
      <c r="F94" s="1" t="s">
        <v>8</v>
      </c>
      <c r="G94" s="1">
        <v>526.39555959017196</v>
      </c>
      <c r="H94" s="1" t="s">
        <v>9</v>
      </c>
      <c r="I94" s="1" t="s">
        <v>39</v>
      </c>
      <c r="J94" s="1" t="s">
        <v>37</v>
      </c>
      <c r="K94" s="1" t="s">
        <v>37</v>
      </c>
      <c r="L94" s="1" t="s">
        <v>38</v>
      </c>
      <c r="M94" s="1" t="s">
        <v>40</v>
      </c>
      <c r="N94" s="1"/>
    </row>
    <row r="95" spans="1:14" x14ac:dyDescent="0.45">
      <c r="A95" s="1" t="s">
        <v>79</v>
      </c>
      <c r="B95" s="1" t="s">
        <v>15</v>
      </c>
      <c r="C95" s="1">
        <v>14</v>
      </c>
      <c r="D95" s="1" t="s">
        <v>35</v>
      </c>
      <c r="E95" s="1" t="s">
        <v>36</v>
      </c>
      <c r="F95" s="1" t="s">
        <v>8</v>
      </c>
      <c r="G95" s="1">
        <v>526.39555959017196</v>
      </c>
      <c r="H95" s="1" t="s">
        <v>9</v>
      </c>
      <c r="I95" s="1" t="s">
        <v>39</v>
      </c>
      <c r="J95" s="1" t="s">
        <v>37</v>
      </c>
      <c r="K95" s="1" t="s">
        <v>37</v>
      </c>
      <c r="L95" s="1" t="s">
        <v>38</v>
      </c>
      <c r="M95" s="1" t="s">
        <v>40</v>
      </c>
      <c r="N95" s="1"/>
    </row>
    <row r="96" spans="1:14" x14ac:dyDescent="0.45">
      <c r="A96" s="1" t="s">
        <v>91</v>
      </c>
      <c r="B96" s="1" t="s">
        <v>15</v>
      </c>
      <c r="C96" s="1">
        <v>15</v>
      </c>
      <c r="D96" s="1" t="s">
        <v>35</v>
      </c>
      <c r="E96" s="1" t="s">
        <v>36</v>
      </c>
      <c r="F96" s="1" t="s">
        <v>8</v>
      </c>
      <c r="G96" s="1">
        <v>526.39555959017196</v>
      </c>
      <c r="H96" s="1">
        <v>35.1</v>
      </c>
      <c r="I96" s="1" t="s">
        <v>151</v>
      </c>
      <c r="J96" s="1" t="s">
        <v>37</v>
      </c>
      <c r="K96" s="1" t="s">
        <v>37</v>
      </c>
      <c r="L96" s="1" t="s">
        <v>38</v>
      </c>
      <c r="M96" s="1" t="s">
        <v>40</v>
      </c>
      <c r="N96" s="1"/>
    </row>
    <row r="97" spans="1:14" x14ac:dyDescent="0.45">
      <c r="A97" s="1" t="s">
        <v>103</v>
      </c>
      <c r="B97" s="1" t="s">
        <v>15</v>
      </c>
      <c r="C97" s="1">
        <v>15</v>
      </c>
      <c r="D97" s="1" t="s">
        <v>35</v>
      </c>
      <c r="E97" s="1" t="s">
        <v>36</v>
      </c>
      <c r="F97" s="1" t="s">
        <v>8</v>
      </c>
      <c r="G97" s="1">
        <v>526.39555959017196</v>
      </c>
      <c r="H97" s="1">
        <v>37.409999999999997</v>
      </c>
      <c r="I97" s="1" t="s">
        <v>151</v>
      </c>
      <c r="J97" s="1" t="s">
        <v>37</v>
      </c>
      <c r="K97" s="1" t="s">
        <v>37</v>
      </c>
      <c r="L97" s="1" t="s">
        <v>38</v>
      </c>
      <c r="M97" s="1" t="s">
        <v>40</v>
      </c>
      <c r="N97" s="1"/>
    </row>
    <row r="98" spans="1:14" x14ac:dyDescent="0.45">
      <c r="A98" s="1" t="s">
        <v>115</v>
      </c>
      <c r="B98" s="1" t="s">
        <v>15</v>
      </c>
      <c r="C98" s="1">
        <v>15</v>
      </c>
      <c r="D98" s="1" t="s">
        <v>35</v>
      </c>
      <c r="E98" s="1" t="s">
        <v>36</v>
      </c>
      <c r="F98" s="1" t="s">
        <v>8</v>
      </c>
      <c r="G98" s="1">
        <v>526.39555959017196</v>
      </c>
      <c r="H98" s="1">
        <v>36.72</v>
      </c>
      <c r="I98" s="1" t="s">
        <v>151</v>
      </c>
      <c r="J98" s="1" t="s">
        <v>37</v>
      </c>
      <c r="K98" s="1" t="s">
        <v>37</v>
      </c>
      <c r="L98" s="1" t="s">
        <v>38</v>
      </c>
      <c r="M98" s="1" t="s">
        <v>40</v>
      </c>
      <c r="N98" s="1"/>
    </row>
    <row r="99" spans="1:14" x14ac:dyDescent="0.45">
      <c r="A99" s="1" t="s">
        <v>56</v>
      </c>
      <c r="B99" s="1" t="s">
        <v>15</v>
      </c>
      <c r="C99" s="1">
        <v>16</v>
      </c>
      <c r="D99" s="1" t="s">
        <v>35</v>
      </c>
      <c r="E99" s="1" t="s">
        <v>36</v>
      </c>
      <c r="F99" s="1" t="s">
        <v>8</v>
      </c>
      <c r="G99" s="1">
        <v>526.39555959017196</v>
      </c>
      <c r="H99" s="1">
        <v>39.26</v>
      </c>
      <c r="I99" s="1" t="s">
        <v>151</v>
      </c>
      <c r="J99" s="1" t="s">
        <v>37</v>
      </c>
      <c r="K99" s="1" t="s">
        <v>37</v>
      </c>
      <c r="L99" s="1" t="s">
        <v>38</v>
      </c>
      <c r="M99" s="1" t="s">
        <v>40</v>
      </c>
      <c r="N99" s="1"/>
    </row>
    <row r="100" spans="1:14" x14ac:dyDescent="0.45">
      <c r="A100" s="1" t="s">
        <v>127</v>
      </c>
      <c r="B100" s="1" t="s">
        <v>15</v>
      </c>
      <c r="C100" s="1">
        <v>16</v>
      </c>
      <c r="D100" s="1" t="s">
        <v>35</v>
      </c>
      <c r="E100" s="1" t="s">
        <v>36</v>
      </c>
      <c r="F100" s="1" t="s">
        <v>8</v>
      </c>
      <c r="G100" s="1">
        <v>526.39555959017196</v>
      </c>
      <c r="H100" s="1" t="s">
        <v>9</v>
      </c>
      <c r="I100" s="1" t="s">
        <v>39</v>
      </c>
      <c r="J100" s="1" t="s">
        <v>37</v>
      </c>
      <c r="K100" s="1" t="s">
        <v>37</v>
      </c>
      <c r="L100" s="1" t="s">
        <v>38</v>
      </c>
      <c r="M100" s="1" t="s">
        <v>40</v>
      </c>
      <c r="N100" s="1"/>
    </row>
    <row r="101" spans="1:14" x14ac:dyDescent="0.45">
      <c r="A101" s="1" t="s">
        <v>139</v>
      </c>
      <c r="B101" s="1" t="s">
        <v>15</v>
      </c>
      <c r="C101" s="1">
        <v>16</v>
      </c>
      <c r="D101" s="1" t="s">
        <v>35</v>
      </c>
      <c r="E101" s="1" t="s">
        <v>36</v>
      </c>
      <c r="F101" s="1" t="s">
        <v>8</v>
      </c>
      <c r="G101" s="1">
        <v>526.39555959017196</v>
      </c>
      <c r="H101" s="1" t="s">
        <v>9</v>
      </c>
      <c r="I101" s="1" t="s">
        <v>39</v>
      </c>
      <c r="J101" s="1" t="s">
        <v>37</v>
      </c>
      <c r="K101" s="1" t="s">
        <v>37</v>
      </c>
      <c r="L101" s="1" t="s">
        <v>38</v>
      </c>
      <c r="M101" s="1" t="s">
        <v>40</v>
      </c>
      <c r="N101" s="1"/>
    </row>
    <row r="102" spans="1:14" x14ac:dyDescent="0.45">
      <c r="A102" s="1" t="s">
        <v>68</v>
      </c>
      <c r="B102" s="1" t="s">
        <v>15</v>
      </c>
      <c r="C102" s="1">
        <v>17</v>
      </c>
      <c r="D102" s="1" t="s">
        <v>35</v>
      </c>
      <c r="E102" s="1" t="s">
        <v>36</v>
      </c>
      <c r="F102" s="1" t="s">
        <v>8</v>
      </c>
      <c r="G102" s="1">
        <v>526.39555959017196</v>
      </c>
      <c r="H102" s="1" t="s">
        <v>9</v>
      </c>
      <c r="I102" s="1" t="s">
        <v>39</v>
      </c>
      <c r="J102" s="1" t="s">
        <v>37</v>
      </c>
      <c r="K102" s="1" t="s">
        <v>37</v>
      </c>
      <c r="L102" s="1" t="s">
        <v>38</v>
      </c>
      <c r="M102" s="1" t="s">
        <v>40</v>
      </c>
      <c r="N102" s="1"/>
    </row>
    <row r="103" spans="1:14" x14ac:dyDescent="0.45">
      <c r="A103" s="1" t="s">
        <v>80</v>
      </c>
      <c r="B103" s="1" t="s">
        <v>15</v>
      </c>
      <c r="C103" s="1">
        <v>17</v>
      </c>
      <c r="D103" s="1" t="s">
        <v>35</v>
      </c>
      <c r="E103" s="1" t="s">
        <v>36</v>
      </c>
      <c r="F103" s="1" t="s">
        <v>8</v>
      </c>
      <c r="G103" s="1">
        <v>526.39555959017196</v>
      </c>
      <c r="H103" s="1">
        <v>37.619999999999997</v>
      </c>
      <c r="I103" s="1" t="s">
        <v>151</v>
      </c>
      <c r="J103" s="1" t="s">
        <v>37</v>
      </c>
      <c r="K103" s="1" t="s">
        <v>37</v>
      </c>
      <c r="L103" s="1" t="s">
        <v>38</v>
      </c>
      <c r="M103" s="1" t="s">
        <v>40</v>
      </c>
      <c r="N103" s="1"/>
    </row>
    <row r="104" spans="1:14" x14ac:dyDescent="0.45">
      <c r="A104" s="1" t="s">
        <v>92</v>
      </c>
      <c r="B104" s="1" t="s">
        <v>15</v>
      </c>
      <c r="C104" s="1">
        <v>17</v>
      </c>
      <c r="D104" s="1" t="s">
        <v>35</v>
      </c>
      <c r="E104" s="1" t="s">
        <v>36</v>
      </c>
      <c r="F104" s="1" t="s">
        <v>8</v>
      </c>
      <c r="G104" s="1">
        <v>526.39555959017196</v>
      </c>
      <c r="H104" s="1">
        <v>38.64</v>
      </c>
      <c r="I104" s="1" t="s">
        <v>151</v>
      </c>
      <c r="J104" s="1" t="s">
        <v>37</v>
      </c>
      <c r="K104" s="1" t="s">
        <v>37</v>
      </c>
      <c r="L104" s="1" t="s">
        <v>38</v>
      </c>
      <c r="M104" s="1" t="s">
        <v>40</v>
      </c>
      <c r="N104" s="1"/>
    </row>
    <row r="105" spans="1:14" x14ac:dyDescent="0.45">
      <c r="A105" s="1" t="s">
        <v>104</v>
      </c>
      <c r="B105" s="1" t="s">
        <v>15</v>
      </c>
      <c r="C105" s="1">
        <v>18</v>
      </c>
      <c r="D105" s="1" t="s">
        <v>35</v>
      </c>
      <c r="E105" s="1" t="s">
        <v>36</v>
      </c>
      <c r="F105" s="1" t="s">
        <v>8</v>
      </c>
      <c r="G105" s="1">
        <v>526.39555959017196</v>
      </c>
      <c r="H105" s="1">
        <v>37.9</v>
      </c>
      <c r="I105" s="1" t="s">
        <v>151</v>
      </c>
      <c r="J105" s="1" t="s">
        <v>37</v>
      </c>
      <c r="K105" s="1" t="s">
        <v>37</v>
      </c>
      <c r="L105" s="1" t="s">
        <v>38</v>
      </c>
      <c r="M105" s="1" t="s">
        <v>40</v>
      </c>
      <c r="N105" s="1"/>
    </row>
    <row r="106" spans="1:14" x14ac:dyDescent="0.45">
      <c r="A106" s="1" t="s">
        <v>116</v>
      </c>
      <c r="B106" s="1" t="s">
        <v>15</v>
      </c>
      <c r="C106" s="1">
        <v>18</v>
      </c>
      <c r="D106" s="1" t="s">
        <v>35</v>
      </c>
      <c r="E106" s="1" t="s">
        <v>36</v>
      </c>
      <c r="F106" s="1" t="s">
        <v>8</v>
      </c>
      <c r="G106" s="1">
        <v>526.39555959017196</v>
      </c>
      <c r="H106" s="1" t="s">
        <v>9</v>
      </c>
      <c r="I106" s="1" t="s">
        <v>39</v>
      </c>
      <c r="J106" s="1" t="s">
        <v>37</v>
      </c>
      <c r="K106" s="1" t="s">
        <v>37</v>
      </c>
      <c r="L106" s="1" t="s">
        <v>38</v>
      </c>
      <c r="M106" s="1" t="s">
        <v>40</v>
      </c>
      <c r="N106" s="1"/>
    </row>
    <row r="107" spans="1:14" x14ac:dyDescent="0.45">
      <c r="A107" s="1" t="s">
        <v>128</v>
      </c>
      <c r="B107" s="1" t="s">
        <v>15</v>
      </c>
      <c r="C107" s="1">
        <v>18</v>
      </c>
      <c r="D107" s="1" t="s">
        <v>35</v>
      </c>
      <c r="E107" s="1" t="s">
        <v>36</v>
      </c>
      <c r="F107" s="1" t="s">
        <v>8</v>
      </c>
      <c r="G107" s="1">
        <v>526.39555959017196</v>
      </c>
      <c r="H107" s="1" t="s">
        <v>9</v>
      </c>
      <c r="I107" s="1" t="s">
        <v>39</v>
      </c>
      <c r="J107" s="1" t="s">
        <v>37</v>
      </c>
      <c r="K107" s="1" t="s">
        <v>37</v>
      </c>
      <c r="L107" s="1" t="s">
        <v>38</v>
      </c>
      <c r="M107" s="1" t="s">
        <v>40</v>
      </c>
      <c r="N107" s="1"/>
    </row>
    <row r="108" spans="1:14" x14ac:dyDescent="0.45">
      <c r="A108" s="1" t="s">
        <v>57</v>
      </c>
      <c r="B108" s="1" t="s">
        <v>15</v>
      </c>
      <c r="C108" s="1">
        <v>19</v>
      </c>
      <c r="D108" s="1" t="s">
        <v>35</v>
      </c>
      <c r="E108" s="1" t="s">
        <v>36</v>
      </c>
      <c r="F108" s="1" t="s">
        <v>8</v>
      </c>
      <c r="G108" s="1">
        <v>526.39555959017196</v>
      </c>
      <c r="H108" s="1" t="s">
        <v>9</v>
      </c>
      <c r="I108" s="1" t="s">
        <v>39</v>
      </c>
      <c r="J108" s="1" t="s">
        <v>37</v>
      </c>
      <c r="K108" s="1" t="s">
        <v>37</v>
      </c>
      <c r="L108" s="1" t="s">
        <v>38</v>
      </c>
      <c r="M108" s="1" t="s">
        <v>40</v>
      </c>
      <c r="N108" s="1"/>
    </row>
    <row r="109" spans="1:14" x14ac:dyDescent="0.45">
      <c r="A109" s="1" t="s">
        <v>69</v>
      </c>
      <c r="B109" s="1" t="s">
        <v>15</v>
      </c>
      <c r="C109" s="1">
        <v>19</v>
      </c>
      <c r="D109" s="1" t="s">
        <v>35</v>
      </c>
      <c r="E109" s="1" t="s">
        <v>36</v>
      </c>
      <c r="F109" s="1" t="s">
        <v>8</v>
      </c>
      <c r="G109" s="1">
        <v>526.39555959017196</v>
      </c>
      <c r="H109" s="1" t="s">
        <v>9</v>
      </c>
      <c r="I109" s="1" t="s">
        <v>39</v>
      </c>
      <c r="J109" s="1" t="s">
        <v>37</v>
      </c>
      <c r="K109" s="1" t="s">
        <v>37</v>
      </c>
      <c r="L109" s="1" t="s">
        <v>38</v>
      </c>
      <c r="M109" s="1" t="s">
        <v>40</v>
      </c>
      <c r="N109" s="1"/>
    </row>
    <row r="110" spans="1:14" x14ac:dyDescent="0.45">
      <c r="A110" s="1" t="s">
        <v>140</v>
      </c>
      <c r="B110" s="1" t="s">
        <v>15</v>
      </c>
      <c r="C110" s="1">
        <v>19</v>
      </c>
      <c r="D110" s="1" t="s">
        <v>35</v>
      </c>
      <c r="E110" s="1" t="s">
        <v>36</v>
      </c>
      <c r="F110" s="1" t="s">
        <v>8</v>
      </c>
      <c r="G110" s="1">
        <v>526.39555959017196</v>
      </c>
      <c r="H110" s="1" t="s">
        <v>9</v>
      </c>
      <c r="I110" s="1" t="s">
        <v>39</v>
      </c>
      <c r="J110" s="1" t="s">
        <v>37</v>
      </c>
      <c r="K110" s="1" t="s">
        <v>37</v>
      </c>
      <c r="L110" s="1" t="s">
        <v>38</v>
      </c>
      <c r="M110" s="1" t="s">
        <v>40</v>
      </c>
      <c r="N110" s="1"/>
    </row>
    <row r="111" spans="1:14" x14ac:dyDescent="0.45">
      <c r="A111" s="1" t="s">
        <v>81</v>
      </c>
      <c r="B111" s="1" t="s">
        <v>15</v>
      </c>
      <c r="C111" s="1">
        <v>20</v>
      </c>
      <c r="D111" s="1" t="s">
        <v>35</v>
      </c>
      <c r="E111" s="1" t="s">
        <v>36</v>
      </c>
      <c r="F111" s="1" t="s">
        <v>8</v>
      </c>
      <c r="G111" s="1">
        <v>526.39555959017196</v>
      </c>
      <c r="H111" s="1" t="s">
        <v>9</v>
      </c>
      <c r="I111" s="1" t="s">
        <v>39</v>
      </c>
      <c r="J111" s="1" t="s">
        <v>37</v>
      </c>
      <c r="K111" s="1" t="s">
        <v>37</v>
      </c>
      <c r="L111" s="1" t="s">
        <v>38</v>
      </c>
      <c r="M111" s="1" t="s">
        <v>40</v>
      </c>
      <c r="N111" s="1"/>
    </row>
    <row r="112" spans="1:14" x14ac:dyDescent="0.45">
      <c r="A112" s="1" t="s">
        <v>93</v>
      </c>
      <c r="B112" s="1" t="s">
        <v>15</v>
      </c>
      <c r="C112" s="1">
        <v>20</v>
      </c>
      <c r="D112" s="1" t="s">
        <v>35</v>
      </c>
      <c r="E112" s="1" t="s">
        <v>36</v>
      </c>
      <c r="F112" s="1" t="s">
        <v>8</v>
      </c>
      <c r="G112" s="1">
        <v>526.39555959017196</v>
      </c>
      <c r="H112" s="1" t="s">
        <v>9</v>
      </c>
      <c r="I112" s="1" t="s">
        <v>39</v>
      </c>
      <c r="J112" s="1" t="s">
        <v>37</v>
      </c>
      <c r="K112" s="1" t="s">
        <v>37</v>
      </c>
      <c r="L112" s="1" t="s">
        <v>38</v>
      </c>
      <c r="M112" s="1" t="s">
        <v>40</v>
      </c>
      <c r="N112" s="1"/>
    </row>
    <row r="113" spans="1:14" x14ac:dyDescent="0.45">
      <c r="A113" s="1" t="s">
        <v>105</v>
      </c>
      <c r="B113" s="1" t="s">
        <v>15</v>
      </c>
      <c r="C113" s="1">
        <v>20</v>
      </c>
      <c r="D113" s="1" t="s">
        <v>35</v>
      </c>
      <c r="E113" s="1" t="s">
        <v>36</v>
      </c>
      <c r="F113" s="1" t="s">
        <v>8</v>
      </c>
      <c r="G113" s="1">
        <v>526.39555959017196</v>
      </c>
      <c r="H113" s="1" t="s">
        <v>9</v>
      </c>
      <c r="I113" s="1" t="s">
        <v>39</v>
      </c>
      <c r="J113" s="1" t="s">
        <v>37</v>
      </c>
      <c r="K113" s="1" t="s">
        <v>37</v>
      </c>
      <c r="L113" s="1" t="s">
        <v>38</v>
      </c>
      <c r="M113" s="1" t="s">
        <v>40</v>
      </c>
      <c r="N113" s="1"/>
    </row>
    <row r="114" spans="1:14" x14ac:dyDescent="0.45">
      <c r="A114" s="1" t="s">
        <v>117</v>
      </c>
      <c r="B114" s="1" t="s">
        <v>15</v>
      </c>
      <c r="C114" s="1">
        <v>21</v>
      </c>
      <c r="D114" s="1" t="s">
        <v>35</v>
      </c>
      <c r="E114" s="1" t="s">
        <v>36</v>
      </c>
      <c r="F114" s="1" t="s">
        <v>8</v>
      </c>
      <c r="G114" s="1">
        <v>526.39555959017196</v>
      </c>
      <c r="H114" s="1" t="s">
        <v>9</v>
      </c>
      <c r="I114" s="1" t="s">
        <v>39</v>
      </c>
      <c r="J114" s="1" t="s">
        <v>37</v>
      </c>
      <c r="K114" s="1" t="s">
        <v>37</v>
      </c>
      <c r="L114" s="1" t="s">
        <v>38</v>
      </c>
      <c r="M114" s="1" t="s">
        <v>40</v>
      </c>
      <c r="N114" s="1"/>
    </row>
    <row r="115" spans="1:14" x14ac:dyDescent="0.45">
      <c r="A115" s="1" t="s">
        <v>129</v>
      </c>
      <c r="B115" s="1" t="s">
        <v>15</v>
      </c>
      <c r="C115" s="1">
        <v>21</v>
      </c>
      <c r="D115" s="1" t="s">
        <v>35</v>
      </c>
      <c r="E115" s="1" t="s">
        <v>36</v>
      </c>
      <c r="F115" s="1" t="s">
        <v>8</v>
      </c>
      <c r="G115" s="1">
        <v>526.39555959017196</v>
      </c>
      <c r="H115" s="1" t="s">
        <v>9</v>
      </c>
      <c r="I115" s="1" t="s">
        <v>39</v>
      </c>
      <c r="J115" s="1" t="s">
        <v>37</v>
      </c>
      <c r="K115" s="1" t="s">
        <v>37</v>
      </c>
      <c r="L115" s="1" t="s">
        <v>38</v>
      </c>
      <c r="M115" s="1" t="s">
        <v>40</v>
      </c>
      <c r="N115" s="1"/>
    </row>
    <row r="116" spans="1:14" x14ac:dyDescent="0.45">
      <c r="A116" s="1" t="s">
        <v>141</v>
      </c>
      <c r="B116" s="1" t="s">
        <v>15</v>
      </c>
      <c r="C116" s="1">
        <v>21</v>
      </c>
      <c r="D116" s="1" t="s">
        <v>35</v>
      </c>
      <c r="E116" s="1" t="s">
        <v>36</v>
      </c>
      <c r="F116" s="1" t="s">
        <v>8</v>
      </c>
      <c r="G116" s="1">
        <v>526.39555959017196</v>
      </c>
      <c r="H116" s="1" t="s">
        <v>9</v>
      </c>
      <c r="I116" s="1" t="s">
        <v>39</v>
      </c>
      <c r="J116" s="1" t="s">
        <v>37</v>
      </c>
      <c r="K116" s="1" t="s">
        <v>37</v>
      </c>
      <c r="L116" s="1" t="s">
        <v>38</v>
      </c>
      <c r="M116" s="1" t="s">
        <v>40</v>
      </c>
      <c r="N116" s="1"/>
    </row>
    <row r="117" spans="1:14" x14ac:dyDescent="0.45">
      <c r="A117" s="1" t="s">
        <v>58</v>
      </c>
      <c r="B117" s="1" t="s">
        <v>15</v>
      </c>
      <c r="C117" s="1">
        <v>22</v>
      </c>
      <c r="D117" s="1" t="s">
        <v>35</v>
      </c>
      <c r="E117" s="1" t="s">
        <v>36</v>
      </c>
      <c r="F117" s="1" t="s">
        <v>8</v>
      </c>
      <c r="G117" s="1">
        <v>526.39555959017196</v>
      </c>
      <c r="H117" s="1" t="s">
        <v>9</v>
      </c>
      <c r="I117" s="1" t="s">
        <v>39</v>
      </c>
      <c r="J117" s="1" t="s">
        <v>37</v>
      </c>
      <c r="K117" s="1" t="s">
        <v>37</v>
      </c>
      <c r="L117" s="1" t="s">
        <v>38</v>
      </c>
      <c r="M117" s="1" t="s">
        <v>40</v>
      </c>
      <c r="N117" s="1"/>
    </row>
    <row r="118" spans="1:14" x14ac:dyDescent="0.45">
      <c r="A118" s="1" t="s">
        <v>70</v>
      </c>
      <c r="B118" s="1" t="s">
        <v>15</v>
      </c>
      <c r="C118" s="1">
        <v>22</v>
      </c>
      <c r="D118" s="1" t="s">
        <v>35</v>
      </c>
      <c r="E118" s="1" t="s">
        <v>36</v>
      </c>
      <c r="F118" s="1" t="s">
        <v>8</v>
      </c>
      <c r="G118" s="1">
        <v>526.39555959017196</v>
      </c>
      <c r="H118" s="1" t="s">
        <v>9</v>
      </c>
      <c r="I118" s="1" t="s">
        <v>39</v>
      </c>
      <c r="J118" s="1" t="s">
        <v>37</v>
      </c>
      <c r="K118" s="1" t="s">
        <v>37</v>
      </c>
      <c r="L118" s="1" t="s">
        <v>38</v>
      </c>
      <c r="M118" s="1" t="s">
        <v>40</v>
      </c>
      <c r="N118" s="1"/>
    </row>
    <row r="119" spans="1:14" x14ac:dyDescent="0.45">
      <c r="A119" s="1" t="s">
        <v>82</v>
      </c>
      <c r="B119" s="1" t="s">
        <v>15</v>
      </c>
      <c r="C119" s="1">
        <v>22</v>
      </c>
      <c r="D119" s="1" t="s">
        <v>35</v>
      </c>
      <c r="E119" s="1" t="s">
        <v>36</v>
      </c>
      <c r="F119" s="1" t="s">
        <v>8</v>
      </c>
      <c r="G119" s="1">
        <v>526.39555959017196</v>
      </c>
      <c r="H119" s="1">
        <v>38.76</v>
      </c>
      <c r="I119" s="1" t="s">
        <v>151</v>
      </c>
      <c r="J119" s="1" t="s">
        <v>37</v>
      </c>
      <c r="K119" s="1" t="s">
        <v>37</v>
      </c>
      <c r="L119" s="1" t="s">
        <v>38</v>
      </c>
      <c r="M119" s="1" t="s">
        <v>40</v>
      </c>
      <c r="N119" s="1"/>
    </row>
    <row r="120" spans="1:14" x14ac:dyDescent="0.45">
      <c r="A120" s="1" t="s">
        <v>94</v>
      </c>
      <c r="B120" s="1" t="s">
        <v>15</v>
      </c>
      <c r="C120" s="1">
        <v>23</v>
      </c>
      <c r="D120" s="1" t="s">
        <v>35</v>
      </c>
      <c r="E120" s="1" t="s">
        <v>36</v>
      </c>
      <c r="F120" s="1" t="s">
        <v>8</v>
      </c>
      <c r="G120" s="1">
        <v>526.39555959017196</v>
      </c>
      <c r="H120" s="1" t="s">
        <v>9</v>
      </c>
      <c r="I120" s="1" t="s">
        <v>39</v>
      </c>
      <c r="J120" s="1" t="s">
        <v>37</v>
      </c>
      <c r="K120" s="1" t="s">
        <v>37</v>
      </c>
      <c r="L120" s="1" t="s">
        <v>38</v>
      </c>
      <c r="M120" s="1" t="s">
        <v>40</v>
      </c>
      <c r="N120" s="1"/>
    </row>
    <row r="121" spans="1:14" x14ac:dyDescent="0.45">
      <c r="A121" s="1" t="s">
        <v>106</v>
      </c>
      <c r="B121" s="1" t="s">
        <v>15</v>
      </c>
      <c r="C121" s="1">
        <v>23</v>
      </c>
      <c r="D121" s="1" t="s">
        <v>35</v>
      </c>
      <c r="E121" s="1" t="s">
        <v>36</v>
      </c>
      <c r="F121" s="1" t="s">
        <v>8</v>
      </c>
      <c r="G121" s="1">
        <v>526.39555959017196</v>
      </c>
      <c r="H121" s="1">
        <v>39.85</v>
      </c>
      <c r="I121" s="1" t="s">
        <v>151</v>
      </c>
      <c r="J121" s="1" t="s">
        <v>37</v>
      </c>
      <c r="K121" s="1" t="s">
        <v>37</v>
      </c>
      <c r="L121" s="1" t="s">
        <v>38</v>
      </c>
      <c r="M121" s="1" t="s">
        <v>40</v>
      </c>
      <c r="N121" s="1"/>
    </row>
    <row r="122" spans="1:14" x14ac:dyDescent="0.45">
      <c r="A122" s="1" t="s">
        <v>118</v>
      </c>
      <c r="B122" s="1" t="s">
        <v>15</v>
      </c>
      <c r="C122" s="1">
        <v>23</v>
      </c>
      <c r="D122" s="1" t="s">
        <v>35</v>
      </c>
      <c r="E122" s="1" t="s">
        <v>36</v>
      </c>
      <c r="F122" s="1" t="s">
        <v>8</v>
      </c>
      <c r="G122" s="1">
        <v>526.39555959017196</v>
      </c>
      <c r="H122" s="1" t="s">
        <v>9</v>
      </c>
      <c r="I122" s="1" t="s">
        <v>39</v>
      </c>
      <c r="J122" s="1" t="s">
        <v>37</v>
      </c>
      <c r="K122" s="1" t="s">
        <v>37</v>
      </c>
      <c r="L122" s="1" t="s">
        <v>38</v>
      </c>
      <c r="M122" s="1" t="s">
        <v>40</v>
      </c>
      <c r="N122" s="1"/>
    </row>
    <row r="123" spans="1:14" x14ac:dyDescent="0.45">
      <c r="A123" s="1" t="s">
        <v>59</v>
      </c>
      <c r="B123" s="1" t="s">
        <v>15</v>
      </c>
      <c r="C123" s="1">
        <v>24</v>
      </c>
      <c r="D123" s="1" t="s">
        <v>35</v>
      </c>
      <c r="E123" s="1" t="s">
        <v>36</v>
      </c>
      <c r="F123" s="1" t="s">
        <v>8</v>
      </c>
      <c r="G123" s="1">
        <v>526.39555959017196</v>
      </c>
      <c r="H123" s="1">
        <v>39.82</v>
      </c>
      <c r="I123" s="1" t="s">
        <v>151</v>
      </c>
      <c r="J123" s="1" t="s">
        <v>37</v>
      </c>
      <c r="K123" s="1" t="s">
        <v>37</v>
      </c>
      <c r="L123" s="1" t="s">
        <v>38</v>
      </c>
      <c r="M123" s="1" t="s">
        <v>40</v>
      </c>
      <c r="N123" s="1"/>
    </row>
    <row r="124" spans="1:14" x14ac:dyDescent="0.45">
      <c r="A124" s="1" t="s">
        <v>130</v>
      </c>
      <c r="B124" s="1" t="s">
        <v>15</v>
      </c>
      <c r="C124" s="1">
        <v>24</v>
      </c>
      <c r="D124" s="1" t="s">
        <v>35</v>
      </c>
      <c r="E124" s="1" t="s">
        <v>36</v>
      </c>
      <c r="F124" s="1" t="s">
        <v>8</v>
      </c>
      <c r="G124" s="1">
        <v>526.39555959017196</v>
      </c>
      <c r="H124" s="1">
        <v>39.340000000000003</v>
      </c>
      <c r="I124" s="1" t="s">
        <v>151</v>
      </c>
      <c r="J124" s="1" t="s">
        <v>37</v>
      </c>
      <c r="K124" s="1" t="s">
        <v>37</v>
      </c>
      <c r="L124" s="1" t="s">
        <v>38</v>
      </c>
      <c r="M124" s="1" t="s">
        <v>40</v>
      </c>
      <c r="N124" s="1"/>
    </row>
    <row r="125" spans="1:14" x14ac:dyDescent="0.45">
      <c r="A125" s="1" t="s">
        <v>142</v>
      </c>
      <c r="B125" s="1" t="s">
        <v>15</v>
      </c>
      <c r="C125" s="1">
        <v>24</v>
      </c>
      <c r="D125" s="1" t="s">
        <v>35</v>
      </c>
      <c r="E125" s="1" t="s">
        <v>36</v>
      </c>
      <c r="F125" s="1" t="s">
        <v>8</v>
      </c>
      <c r="G125" s="1">
        <v>526.39555959017196</v>
      </c>
      <c r="H125" s="1" t="s">
        <v>9</v>
      </c>
      <c r="I125" s="1" t="s">
        <v>39</v>
      </c>
      <c r="J125" s="1" t="s">
        <v>37</v>
      </c>
      <c r="K125" s="1" t="s">
        <v>37</v>
      </c>
      <c r="L125" s="1" t="s">
        <v>38</v>
      </c>
      <c r="M125" s="1" t="s">
        <v>40</v>
      </c>
      <c r="N125" s="1"/>
    </row>
    <row r="126" spans="1:14" x14ac:dyDescent="0.45">
      <c r="A126" s="1" t="s">
        <v>71</v>
      </c>
      <c r="B126" s="1" t="s">
        <v>15</v>
      </c>
      <c r="C126" s="1">
        <v>25</v>
      </c>
      <c r="D126" s="1" t="s">
        <v>35</v>
      </c>
      <c r="E126" s="1" t="s">
        <v>36</v>
      </c>
      <c r="F126" s="1" t="s">
        <v>8</v>
      </c>
      <c r="G126" s="1">
        <v>526.39555959017196</v>
      </c>
      <c r="H126" s="1" t="s">
        <v>9</v>
      </c>
      <c r="I126" s="1" t="s">
        <v>39</v>
      </c>
      <c r="J126" s="1" t="s">
        <v>37</v>
      </c>
      <c r="K126" s="1" t="s">
        <v>37</v>
      </c>
      <c r="L126" s="1" t="s">
        <v>38</v>
      </c>
      <c r="M126" s="1" t="s">
        <v>40</v>
      </c>
      <c r="N126" s="1"/>
    </row>
    <row r="127" spans="1:14" x14ac:dyDescent="0.45">
      <c r="A127" s="1" t="s">
        <v>83</v>
      </c>
      <c r="B127" s="1" t="s">
        <v>15</v>
      </c>
      <c r="C127" s="1">
        <v>25</v>
      </c>
      <c r="D127" s="1" t="s">
        <v>35</v>
      </c>
      <c r="E127" s="1" t="s">
        <v>36</v>
      </c>
      <c r="F127" s="1" t="s">
        <v>8</v>
      </c>
      <c r="G127" s="1">
        <v>526.39555959017196</v>
      </c>
      <c r="H127" s="1" t="s">
        <v>9</v>
      </c>
      <c r="I127" s="1" t="s">
        <v>39</v>
      </c>
      <c r="J127" s="1" t="s">
        <v>37</v>
      </c>
      <c r="K127" s="1" t="s">
        <v>37</v>
      </c>
      <c r="L127" s="1" t="s">
        <v>38</v>
      </c>
      <c r="M127" s="1" t="s">
        <v>40</v>
      </c>
      <c r="N127" s="1"/>
    </row>
    <row r="128" spans="1:14" x14ac:dyDescent="0.45">
      <c r="A128" s="1" t="s">
        <v>95</v>
      </c>
      <c r="B128" s="1" t="s">
        <v>15</v>
      </c>
      <c r="C128" s="1">
        <v>25</v>
      </c>
      <c r="D128" s="1" t="s">
        <v>35</v>
      </c>
      <c r="E128" s="1" t="s">
        <v>36</v>
      </c>
      <c r="F128" s="1" t="s">
        <v>8</v>
      </c>
      <c r="G128" s="1">
        <v>526.39555959017196</v>
      </c>
      <c r="H128" s="1" t="s">
        <v>9</v>
      </c>
      <c r="I128" s="1" t="s">
        <v>39</v>
      </c>
      <c r="J128" s="1" t="s">
        <v>37</v>
      </c>
      <c r="K128" s="1" t="s">
        <v>37</v>
      </c>
      <c r="L128" s="1" t="s">
        <v>38</v>
      </c>
      <c r="M128" s="1" t="s">
        <v>40</v>
      </c>
      <c r="N128" s="1"/>
    </row>
    <row r="129" spans="1:14" x14ac:dyDescent="0.45">
      <c r="A129" s="1" t="s">
        <v>107</v>
      </c>
      <c r="B129" s="1" t="s">
        <v>15</v>
      </c>
      <c r="C129" s="1">
        <v>26</v>
      </c>
      <c r="D129" s="1" t="s">
        <v>35</v>
      </c>
      <c r="E129" s="1" t="s">
        <v>36</v>
      </c>
      <c r="F129" s="1" t="s">
        <v>8</v>
      </c>
      <c r="G129" s="1">
        <v>526.39555959017196</v>
      </c>
      <c r="H129" s="1" t="s">
        <v>9</v>
      </c>
      <c r="I129" s="1" t="s">
        <v>39</v>
      </c>
      <c r="J129" s="1" t="s">
        <v>37</v>
      </c>
      <c r="K129" s="1" t="s">
        <v>37</v>
      </c>
      <c r="L129" s="1" t="s">
        <v>38</v>
      </c>
      <c r="M129" s="1" t="s">
        <v>40</v>
      </c>
      <c r="N129" s="1"/>
    </row>
    <row r="130" spans="1:14" x14ac:dyDescent="0.45">
      <c r="A130" s="1" t="s">
        <v>119</v>
      </c>
      <c r="B130" s="1" t="s">
        <v>15</v>
      </c>
      <c r="C130" s="1">
        <v>26</v>
      </c>
      <c r="D130" s="1" t="s">
        <v>35</v>
      </c>
      <c r="E130" s="1" t="s">
        <v>36</v>
      </c>
      <c r="F130" s="1" t="s">
        <v>8</v>
      </c>
      <c r="G130" s="1">
        <v>526.39555959017196</v>
      </c>
      <c r="H130" s="1" t="s">
        <v>9</v>
      </c>
      <c r="I130" s="1" t="s">
        <v>39</v>
      </c>
      <c r="J130" s="1" t="s">
        <v>37</v>
      </c>
      <c r="K130" s="1" t="s">
        <v>37</v>
      </c>
      <c r="L130" s="1" t="s">
        <v>38</v>
      </c>
      <c r="M130" s="1" t="s">
        <v>40</v>
      </c>
      <c r="N130" s="1"/>
    </row>
    <row r="131" spans="1:14" x14ac:dyDescent="0.45">
      <c r="A131" s="1" t="s">
        <v>131</v>
      </c>
      <c r="B131" s="1" t="s">
        <v>15</v>
      </c>
      <c r="C131" s="1">
        <v>26</v>
      </c>
      <c r="D131" s="1" t="s">
        <v>35</v>
      </c>
      <c r="E131" s="1" t="s">
        <v>36</v>
      </c>
      <c r="F131" s="1" t="s">
        <v>8</v>
      </c>
      <c r="G131" s="1">
        <v>526.39555959017196</v>
      </c>
      <c r="H131" s="1" t="s">
        <v>9</v>
      </c>
      <c r="I131" s="1" t="s">
        <v>39</v>
      </c>
      <c r="J131" s="1" t="s">
        <v>37</v>
      </c>
      <c r="K131" s="1" t="s">
        <v>37</v>
      </c>
      <c r="L131" s="1" t="s">
        <v>38</v>
      </c>
      <c r="M131" s="1" t="s">
        <v>40</v>
      </c>
      <c r="N131" s="1"/>
    </row>
    <row r="132" spans="1:14" x14ac:dyDescent="0.45">
      <c r="A132" s="1" t="s">
        <v>60</v>
      </c>
      <c r="B132" s="1" t="s">
        <v>15</v>
      </c>
      <c r="C132" s="1">
        <v>27</v>
      </c>
      <c r="D132" s="1" t="s">
        <v>35</v>
      </c>
      <c r="E132" s="1" t="s">
        <v>36</v>
      </c>
      <c r="F132" s="1" t="s">
        <v>8</v>
      </c>
      <c r="G132" s="1">
        <v>526.39555959017196</v>
      </c>
      <c r="H132" s="1">
        <v>38.700000000000003</v>
      </c>
      <c r="I132" s="1" t="s">
        <v>151</v>
      </c>
      <c r="J132" s="1" t="s">
        <v>37</v>
      </c>
      <c r="K132" s="1" t="s">
        <v>37</v>
      </c>
      <c r="L132" s="1" t="s">
        <v>38</v>
      </c>
      <c r="M132" s="1" t="s">
        <v>40</v>
      </c>
      <c r="N132" s="1"/>
    </row>
    <row r="133" spans="1:14" x14ac:dyDescent="0.45">
      <c r="A133" s="1" t="s">
        <v>72</v>
      </c>
      <c r="B133" s="1" t="s">
        <v>15</v>
      </c>
      <c r="C133" s="1">
        <v>27</v>
      </c>
      <c r="D133" s="1" t="s">
        <v>35</v>
      </c>
      <c r="E133" s="1" t="s">
        <v>36</v>
      </c>
      <c r="F133" s="1" t="s">
        <v>8</v>
      </c>
      <c r="G133" s="1">
        <v>526.39555959017196</v>
      </c>
      <c r="H133" s="1">
        <v>38</v>
      </c>
      <c r="I133" s="1" t="s">
        <v>151</v>
      </c>
      <c r="J133" s="1" t="s">
        <v>37</v>
      </c>
      <c r="K133" s="1" t="s">
        <v>37</v>
      </c>
      <c r="L133" s="1" t="s">
        <v>38</v>
      </c>
      <c r="M133" s="1" t="s">
        <v>40</v>
      </c>
      <c r="N133" s="1"/>
    </row>
    <row r="134" spans="1:14" x14ac:dyDescent="0.45">
      <c r="A134" s="1" t="s">
        <v>143</v>
      </c>
      <c r="B134" s="1" t="s">
        <v>15</v>
      </c>
      <c r="C134" s="1">
        <v>27</v>
      </c>
      <c r="D134" s="1" t="s">
        <v>35</v>
      </c>
      <c r="E134" s="1" t="s">
        <v>36</v>
      </c>
      <c r="F134" s="1" t="s">
        <v>8</v>
      </c>
      <c r="G134" s="1">
        <v>526.39555959017196</v>
      </c>
      <c r="H134" s="1" t="s">
        <v>9</v>
      </c>
      <c r="I134" s="1" t="s">
        <v>39</v>
      </c>
      <c r="J134" s="1" t="s">
        <v>37</v>
      </c>
      <c r="K134" s="1" t="s">
        <v>37</v>
      </c>
      <c r="L134" s="1" t="s">
        <v>38</v>
      </c>
      <c r="M134" s="1" t="s">
        <v>40</v>
      </c>
      <c r="N134" s="1"/>
    </row>
    <row r="135" spans="1:14" x14ac:dyDescent="0.45">
      <c r="A135" s="1" t="s">
        <v>84</v>
      </c>
      <c r="B135" s="1" t="s">
        <v>15</v>
      </c>
      <c r="C135" s="1">
        <v>28</v>
      </c>
      <c r="D135" s="1" t="s">
        <v>35</v>
      </c>
      <c r="E135" s="1" t="s">
        <v>36</v>
      </c>
      <c r="F135" s="1" t="s">
        <v>8</v>
      </c>
      <c r="G135" s="1">
        <v>526.39555959017196</v>
      </c>
      <c r="H135" s="1">
        <v>31.3</v>
      </c>
      <c r="I135" s="1" t="s">
        <v>151</v>
      </c>
      <c r="J135" s="1" t="s">
        <v>37</v>
      </c>
      <c r="K135" s="1" t="s">
        <v>37</v>
      </c>
      <c r="L135" s="1" t="s">
        <v>38</v>
      </c>
      <c r="M135" s="1" t="s">
        <v>40</v>
      </c>
      <c r="N135" s="1"/>
    </row>
    <row r="136" spans="1:14" x14ac:dyDescent="0.45">
      <c r="A136" s="1" t="s">
        <v>96</v>
      </c>
      <c r="B136" s="1" t="s">
        <v>15</v>
      </c>
      <c r="C136" s="1">
        <v>28</v>
      </c>
      <c r="D136" s="1" t="s">
        <v>35</v>
      </c>
      <c r="E136" s="1" t="s">
        <v>36</v>
      </c>
      <c r="F136" s="1" t="s">
        <v>8</v>
      </c>
      <c r="G136" s="1">
        <v>526.39555959017196</v>
      </c>
      <c r="H136" s="1" t="s">
        <v>9</v>
      </c>
      <c r="I136" s="1" t="s">
        <v>39</v>
      </c>
      <c r="J136" s="1" t="s">
        <v>37</v>
      </c>
      <c r="K136" s="1" t="s">
        <v>37</v>
      </c>
      <c r="L136" s="1" t="s">
        <v>38</v>
      </c>
      <c r="M136" s="1" t="s">
        <v>40</v>
      </c>
      <c r="N136" s="1"/>
    </row>
    <row r="137" spans="1:14" x14ac:dyDescent="0.45">
      <c r="A137" s="1" t="s">
        <v>108</v>
      </c>
      <c r="B137" s="1" t="s">
        <v>15</v>
      </c>
      <c r="C137" s="1">
        <v>28</v>
      </c>
      <c r="D137" s="1" t="s">
        <v>35</v>
      </c>
      <c r="E137" s="1" t="s">
        <v>36</v>
      </c>
      <c r="F137" s="1" t="s">
        <v>8</v>
      </c>
      <c r="G137" s="1">
        <v>526.39555959017196</v>
      </c>
      <c r="H137" s="1" t="s">
        <v>9</v>
      </c>
      <c r="I137" s="1" t="s">
        <v>39</v>
      </c>
      <c r="J137" s="1" t="s">
        <v>37</v>
      </c>
      <c r="K137" s="1" t="s">
        <v>37</v>
      </c>
      <c r="L137" s="1" t="s">
        <v>38</v>
      </c>
      <c r="M137" s="1" t="s">
        <v>40</v>
      </c>
      <c r="N137" s="1"/>
    </row>
    <row r="138" spans="1:14" x14ac:dyDescent="0.45">
      <c r="A138" s="1" t="s">
        <v>120</v>
      </c>
      <c r="B138" s="1" t="s">
        <v>15</v>
      </c>
      <c r="C138" s="1">
        <v>29</v>
      </c>
      <c r="D138" s="1" t="s">
        <v>35</v>
      </c>
      <c r="E138" s="1" t="s">
        <v>36</v>
      </c>
      <c r="F138" s="1" t="s">
        <v>8</v>
      </c>
      <c r="G138" s="1">
        <v>526.39555959017196</v>
      </c>
      <c r="H138" s="1">
        <v>38.28</v>
      </c>
      <c r="I138" s="1" t="s">
        <v>151</v>
      </c>
      <c r="J138" s="1" t="s">
        <v>37</v>
      </c>
      <c r="K138" s="1" t="s">
        <v>37</v>
      </c>
      <c r="L138" s="1" t="s">
        <v>38</v>
      </c>
      <c r="M138" s="1" t="s">
        <v>40</v>
      </c>
      <c r="N138" s="1"/>
    </row>
    <row r="139" spans="1:14" x14ac:dyDescent="0.45">
      <c r="A139" s="1" t="s">
        <v>132</v>
      </c>
      <c r="B139" s="1" t="s">
        <v>15</v>
      </c>
      <c r="C139" s="1">
        <v>29</v>
      </c>
      <c r="D139" s="1" t="s">
        <v>35</v>
      </c>
      <c r="E139" s="1" t="s">
        <v>36</v>
      </c>
      <c r="F139" s="1" t="s">
        <v>8</v>
      </c>
      <c r="G139" s="1">
        <v>526.39555959017196</v>
      </c>
      <c r="H139" s="1">
        <v>38.950000000000003</v>
      </c>
      <c r="I139" s="1" t="s">
        <v>151</v>
      </c>
      <c r="J139" s="1" t="s">
        <v>37</v>
      </c>
      <c r="K139" s="1" t="s">
        <v>37</v>
      </c>
      <c r="L139" s="1" t="s">
        <v>38</v>
      </c>
      <c r="M139" s="1" t="s">
        <v>40</v>
      </c>
      <c r="N139" s="1"/>
    </row>
    <row r="140" spans="1:14" x14ac:dyDescent="0.45">
      <c r="A140" s="1" t="s">
        <v>144</v>
      </c>
      <c r="B140" s="1" t="s">
        <v>15</v>
      </c>
      <c r="C140" s="1">
        <v>29</v>
      </c>
      <c r="D140" s="1" t="s">
        <v>35</v>
      </c>
      <c r="E140" s="1" t="s">
        <v>36</v>
      </c>
      <c r="F140" s="1" t="s">
        <v>8</v>
      </c>
      <c r="G140" s="1">
        <v>526.39555959017196</v>
      </c>
      <c r="H140" s="1" t="s">
        <v>9</v>
      </c>
      <c r="I140" s="1" t="s">
        <v>39</v>
      </c>
      <c r="J140" s="1" t="s">
        <v>37</v>
      </c>
      <c r="K140" s="1" t="s">
        <v>37</v>
      </c>
      <c r="L140" s="1" t="s">
        <v>38</v>
      </c>
      <c r="M140" s="1" t="s">
        <v>40</v>
      </c>
      <c r="N140" s="1"/>
    </row>
    <row r="141" spans="1:14" x14ac:dyDescent="0.45">
      <c r="A141" s="1" t="s">
        <v>49</v>
      </c>
      <c r="B141" s="1" t="s">
        <v>7</v>
      </c>
      <c r="C141" s="1" t="s">
        <v>7</v>
      </c>
      <c r="D141" s="1" t="s">
        <v>35</v>
      </c>
      <c r="E141" s="1" t="s">
        <v>36</v>
      </c>
      <c r="F141" s="1" t="s">
        <v>8</v>
      </c>
      <c r="G141" s="1">
        <v>526.39555959017196</v>
      </c>
      <c r="H141" s="1" t="s">
        <v>9</v>
      </c>
      <c r="I141" s="1" t="s">
        <v>39</v>
      </c>
      <c r="J141" s="1" t="s">
        <v>37</v>
      </c>
      <c r="K141" s="1" t="s">
        <v>37</v>
      </c>
      <c r="L141" s="1" t="s">
        <v>38</v>
      </c>
      <c r="M141" s="1" t="s">
        <v>40</v>
      </c>
      <c r="N141" s="1"/>
    </row>
    <row r="142" spans="1:14" x14ac:dyDescent="0.45">
      <c r="A142" s="1" t="s">
        <v>61</v>
      </c>
      <c r="B142" s="1" t="s">
        <v>7</v>
      </c>
      <c r="C142" s="1" t="s">
        <v>7</v>
      </c>
      <c r="D142" s="1" t="s">
        <v>35</v>
      </c>
      <c r="E142" s="1" t="s">
        <v>36</v>
      </c>
      <c r="F142" s="1" t="s">
        <v>8</v>
      </c>
      <c r="G142" s="1">
        <v>526.39555959017196</v>
      </c>
      <c r="H142" s="1" t="s">
        <v>9</v>
      </c>
      <c r="I142" s="1" t="s">
        <v>39</v>
      </c>
      <c r="J142" s="1" t="s">
        <v>37</v>
      </c>
      <c r="K142" s="1" t="s">
        <v>37</v>
      </c>
      <c r="L142" s="1" t="s">
        <v>38</v>
      </c>
      <c r="M142" s="1" t="s">
        <v>40</v>
      </c>
      <c r="N142" s="1"/>
    </row>
    <row r="143" spans="1:14" x14ac:dyDescent="0.45">
      <c r="A143" s="1" t="s">
        <v>73</v>
      </c>
      <c r="B143" s="1" t="s">
        <v>7</v>
      </c>
      <c r="C143" s="1" t="s">
        <v>7</v>
      </c>
      <c r="D143" s="1" t="s">
        <v>35</v>
      </c>
      <c r="E143" s="1" t="s">
        <v>36</v>
      </c>
      <c r="F143" s="1" t="s">
        <v>8</v>
      </c>
      <c r="G143" s="1">
        <v>526.39555959017196</v>
      </c>
      <c r="H143" s="1" t="s">
        <v>9</v>
      </c>
      <c r="I143" s="1" t="s">
        <v>39</v>
      </c>
      <c r="J143" s="1" t="s">
        <v>37</v>
      </c>
      <c r="K143" s="1" t="s">
        <v>37</v>
      </c>
      <c r="L143" s="1" t="s">
        <v>38</v>
      </c>
      <c r="M143" s="1" t="s">
        <v>40</v>
      </c>
      <c r="N143" s="1"/>
    </row>
    <row r="144" spans="1:14" x14ac:dyDescent="0.45">
      <c r="A144" s="1" t="s">
        <v>85</v>
      </c>
      <c r="B144" s="1" t="s">
        <v>11</v>
      </c>
      <c r="C144" s="1" t="s">
        <v>43</v>
      </c>
      <c r="D144" s="1" t="s">
        <v>35</v>
      </c>
      <c r="E144" s="1" t="s">
        <v>36</v>
      </c>
      <c r="F144" s="1" t="s">
        <v>8</v>
      </c>
      <c r="G144" s="1">
        <v>526.39555959017196</v>
      </c>
      <c r="H144" s="1">
        <v>8.99</v>
      </c>
      <c r="I144" s="1" t="s">
        <v>151</v>
      </c>
      <c r="J144" s="1" t="s">
        <v>37</v>
      </c>
      <c r="K144" s="1" t="s">
        <v>37</v>
      </c>
      <c r="L144" s="1" t="s">
        <v>38</v>
      </c>
      <c r="M144" s="1" t="s">
        <v>40</v>
      </c>
      <c r="N144" s="1"/>
    </row>
    <row r="145" spans="1:14" x14ac:dyDescent="0.45">
      <c r="A145" s="1" t="s">
        <v>97</v>
      </c>
      <c r="B145" s="1" t="s">
        <v>11</v>
      </c>
      <c r="C145" s="1" t="s">
        <v>43</v>
      </c>
      <c r="D145" s="1" t="s">
        <v>35</v>
      </c>
      <c r="E145" s="1" t="s">
        <v>36</v>
      </c>
      <c r="F145" s="1" t="s">
        <v>8</v>
      </c>
      <c r="G145" s="1">
        <v>526.39555959017196</v>
      </c>
      <c r="H145" s="1">
        <v>9.07</v>
      </c>
      <c r="I145" s="1" t="s">
        <v>151</v>
      </c>
      <c r="J145" s="1" t="s">
        <v>37</v>
      </c>
      <c r="K145" s="1" t="s">
        <v>37</v>
      </c>
      <c r="L145" s="1" t="s">
        <v>38</v>
      </c>
      <c r="M145" s="1" t="s">
        <v>40</v>
      </c>
      <c r="N145" s="1"/>
    </row>
    <row r="146" spans="1:14" x14ac:dyDescent="0.45">
      <c r="A146" s="1" t="s">
        <v>109</v>
      </c>
      <c r="B146" s="1" t="s">
        <v>11</v>
      </c>
      <c r="C146" s="1" t="s">
        <v>43</v>
      </c>
      <c r="D146" s="1" t="s">
        <v>35</v>
      </c>
      <c r="E146" s="1" t="s">
        <v>36</v>
      </c>
      <c r="F146" s="1" t="s">
        <v>8</v>
      </c>
      <c r="G146" s="1">
        <v>526.39555959017196</v>
      </c>
      <c r="H146" s="1">
        <v>9.3800000000000008</v>
      </c>
      <c r="I146" s="1" t="s">
        <v>151</v>
      </c>
      <c r="J146" s="1" t="s">
        <v>37</v>
      </c>
      <c r="K146" s="1" t="s">
        <v>37</v>
      </c>
      <c r="L146" s="1" t="s">
        <v>38</v>
      </c>
      <c r="M146" s="1" t="s">
        <v>40</v>
      </c>
      <c r="N146" s="1"/>
    </row>
    <row r="147" spans="1:14" x14ac:dyDescent="0.45">
      <c r="A147" s="1" t="s">
        <v>50</v>
      </c>
      <c r="B147" s="1" t="s">
        <v>11</v>
      </c>
      <c r="C147" s="1" t="s">
        <v>41</v>
      </c>
      <c r="D147" s="1" t="s">
        <v>35</v>
      </c>
      <c r="E147" s="1" t="s">
        <v>36</v>
      </c>
      <c r="F147" s="1" t="s">
        <v>8</v>
      </c>
      <c r="G147" s="1">
        <v>526.39555959017196</v>
      </c>
      <c r="H147" s="1">
        <v>27.5</v>
      </c>
      <c r="I147" s="1" t="s">
        <v>151</v>
      </c>
      <c r="J147" s="1" t="s">
        <v>37</v>
      </c>
      <c r="K147" s="1" t="s">
        <v>37</v>
      </c>
      <c r="L147" s="1" t="s">
        <v>38</v>
      </c>
      <c r="M147" s="1" t="s">
        <v>40</v>
      </c>
      <c r="N147" s="1"/>
    </row>
    <row r="148" spans="1:14" x14ac:dyDescent="0.45">
      <c r="A148" s="1" t="s">
        <v>121</v>
      </c>
      <c r="B148" s="1" t="s">
        <v>11</v>
      </c>
      <c r="C148" s="1" t="s">
        <v>41</v>
      </c>
      <c r="D148" s="1" t="s">
        <v>35</v>
      </c>
      <c r="E148" s="1" t="s">
        <v>36</v>
      </c>
      <c r="F148" s="1" t="s">
        <v>8</v>
      </c>
      <c r="G148" s="1">
        <v>526.39555959017196</v>
      </c>
      <c r="H148" s="1">
        <v>27.38</v>
      </c>
      <c r="I148" s="1" t="s">
        <v>151</v>
      </c>
      <c r="J148" s="1" t="s">
        <v>37</v>
      </c>
      <c r="K148" s="1" t="s">
        <v>37</v>
      </c>
      <c r="L148" s="1" t="s">
        <v>38</v>
      </c>
      <c r="M148" s="1" t="s">
        <v>40</v>
      </c>
      <c r="N148" s="1"/>
    </row>
    <row r="149" spans="1:14" x14ac:dyDescent="0.45">
      <c r="A149" s="1" t="s">
        <v>133</v>
      </c>
      <c r="B149" s="1" t="s">
        <v>11</v>
      </c>
      <c r="C149" s="1" t="s">
        <v>41</v>
      </c>
      <c r="D149" s="1" t="s">
        <v>35</v>
      </c>
      <c r="E149" s="1" t="s">
        <v>36</v>
      </c>
      <c r="F149" s="1" t="s">
        <v>8</v>
      </c>
      <c r="G149" s="1">
        <v>526.39555959017196</v>
      </c>
      <c r="H149" s="1">
        <v>28.73</v>
      </c>
      <c r="I149" s="1" t="s">
        <v>151</v>
      </c>
      <c r="J149" s="1" t="s">
        <v>37</v>
      </c>
      <c r="K149" s="1" t="s">
        <v>37</v>
      </c>
      <c r="L149" s="1" t="s">
        <v>38</v>
      </c>
      <c r="M149" s="1" t="s">
        <v>40</v>
      </c>
      <c r="N149" s="1"/>
    </row>
    <row r="151" spans="1:14" x14ac:dyDescent="0.45">
      <c r="A151" t="s">
        <v>46</v>
      </c>
      <c r="B151" t="s">
        <v>47</v>
      </c>
      <c r="C151" s="2">
        <v>45762</v>
      </c>
    </row>
    <row r="152" spans="1:14" x14ac:dyDescent="0.45">
      <c r="A152" s="1" t="s">
        <v>48</v>
      </c>
      <c r="B152" s="1" t="s">
        <v>0</v>
      </c>
      <c r="C152" s="1" t="s">
        <v>1</v>
      </c>
      <c r="D152" s="1" t="s">
        <v>25</v>
      </c>
      <c r="E152" s="1" t="s">
        <v>26</v>
      </c>
      <c r="F152" s="1" t="s">
        <v>27</v>
      </c>
      <c r="G152" s="1" t="s">
        <v>2</v>
      </c>
      <c r="H152" s="1" t="s">
        <v>29</v>
      </c>
      <c r="I152" s="1" t="s">
        <v>30</v>
      </c>
      <c r="J152" s="1" t="s">
        <v>31</v>
      </c>
      <c r="K152" s="1" t="s">
        <v>32</v>
      </c>
      <c r="L152" s="1" t="s">
        <v>34</v>
      </c>
    </row>
    <row r="153" spans="1:14" x14ac:dyDescent="0.45">
      <c r="A153" s="1" t="s">
        <v>62</v>
      </c>
      <c r="B153" s="1" t="s">
        <v>15</v>
      </c>
      <c r="C153" s="1">
        <v>1</v>
      </c>
      <c r="D153" s="1" t="s">
        <v>35</v>
      </c>
      <c r="E153" s="1" t="s">
        <v>36</v>
      </c>
      <c r="F153" s="1" t="s">
        <v>8</v>
      </c>
      <c r="G153" s="1">
        <v>38.56</v>
      </c>
      <c r="H153" s="1" t="s">
        <v>37</v>
      </c>
      <c r="I153" s="1" t="s">
        <v>37</v>
      </c>
      <c r="J153" s="1" t="s">
        <v>37</v>
      </c>
      <c r="K153" s="1" t="s">
        <v>38</v>
      </c>
      <c r="L153" s="1" t="s">
        <v>40</v>
      </c>
    </row>
    <row r="154" spans="1:14" x14ac:dyDescent="0.45">
      <c r="A154" s="1" t="s">
        <v>74</v>
      </c>
      <c r="B154" s="1" t="s">
        <v>15</v>
      </c>
      <c r="C154" s="1">
        <v>1</v>
      </c>
      <c r="D154" s="1" t="s">
        <v>35</v>
      </c>
      <c r="E154" s="1" t="s">
        <v>36</v>
      </c>
      <c r="F154" s="1" t="s">
        <v>8</v>
      </c>
      <c r="G154" s="1">
        <v>37.07</v>
      </c>
      <c r="H154" s="1" t="s">
        <v>37</v>
      </c>
      <c r="I154" s="1" t="s">
        <v>37</v>
      </c>
      <c r="J154" s="1" t="s">
        <v>37</v>
      </c>
      <c r="K154" s="1" t="s">
        <v>38</v>
      </c>
      <c r="L154" s="1" t="s">
        <v>40</v>
      </c>
    </row>
    <row r="155" spans="1:14" x14ac:dyDescent="0.45">
      <c r="A155" s="1" t="s">
        <v>86</v>
      </c>
      <c r="B155" s="1" t="s">
        <v>15</v>
      </c>
      <c r="C155" s="1">
        <v>1</v>
      </c>
      <c r="D155" s="1" t="s">
        <v>35</v>
      </c>
      <c r="E155" s="1" t="s">
        <v>36</v>
      </c>
      <c r="F155" s="1" t="s">
        <v>8</v>
      </c>
      <c r="G155" s="1">
        <v>36.43</v>
      </c>
      <c r="H155" s="1" t="s">
        <v>37</v>
      </c>
      <c r="I155" s="1" t="s">
        <v>37</v>
      </c>
      <c r="J155" s="1" t="s">
        <v>37</v>
      </c>
      <c r="K155" s="1" t="s">
        <v>38</v>
      </c>
      <c r="L155" s="1" t="s">
        <v>40</v>
      </c>
    </row>
    <row r="156" spans="1:14" x14ac:dyDescent="0.45">
      <c r="A156" s="1" t="s">
        <v>98</v>
      </c>
      <c r="B156" s="1" t="s">
        <v>15</v>
      </c>
      <c r="C156" s="1">
        <v>2</v>
      </c>
      <c r="D156" s="1" t="s">
        <v>35</v>
      </c>
      <c r="E156" s="1" t="s">
        <v>36</v>
      </c>
      <c r="F156" s="1" t="s">
        <v>8</v>
      </c>
      <c r="G156" s="1">
        <v>37.5</v>
      </c>
      <c r="H156" s="1" t="s">
        <v>37</v>
      </c>
      <c r="I156" s="1" t="s">
        <v>37</v>
      </c>
      <c r="J156" s="1" t="s">
        <v>37</v>
      </c>
      <c r="K156" s="1" t="s">
        <v>38</v>
      </c>
      <c r="L156" s="1" t="s">
        <v>40</v>
      </c>
    </row>
    <row r="157" spans="1:14" x14ac:dyDescent="0.45">
      <c r="A157" s="1" t="s">
        <v>110</v>
      </c>
      <c r="B157" s="1" t="s">
        <v>15</v>
      </c>
      <c r="C157" s="1">
        <v>2</v>
      </c>
      <c r="D157" s="1" t="s">
        <v>35</v>
      </c>
      <c r="E157" s="1" t="s">
        <v>36</v>
      </c>
      <c r="F157" s="1" t="s">
        <v>8</v>
      </c>
      <c r="G157" s="1" t="s">
        <v>9</v>
      </c>
      <c r="H157" s="1" t="s">
        <v>37</v>
      </c>
      <c r="I157" s="1" t="s">
        <v>37</v>
      </c>
      <c r="J157" s="1" t="s">
        <v>37</v>
      </c>
      <c r="K157" s="1" t="s">
        <v>38</v>
      </c>
      <c r="L157" s="1" t="s">
        <v>40</v>
      </c>
    </row>
    <row r="158" spans="1:14" x14ac:dyDescent="0.45">
      <c r="A158" s="1" t="s">
        <v>122</v>
      </c>
      <c r="B158" s="1" t="s">
        <v>15</v>
      </c>
      <c r="C158" s="1">
        <v>2</v>
      </c>
      <c r="D158" s="1" t="s">
        <v>35</v>
      </c>
      <c r="E158" s="1" t="s">
        <v>36</v>
      </c>
      <c r="F158" s="1" t="s">
        <v>8</v>
      </c>
      <c r="G158" s="1">
        <v>37.65</v>
      </c>
      <c r="H158" s="1" t="s">
        <v>37</v>
      </c>
      <c r="I158" s="1" t="s">
        <v>37</v>
      </c>
      <c r="J158" s="1" t="s">
        <v>37</v>
      </c>
      <c r="K158" s="1" t="s">
        <v>38</v>
      </c>
      <c r="L158" s="1" t="s">
        <v>40</v>
      </c>
    </row>
    <row r="159" spans="1:14" x14ac:dyDescent="0.45">
      <c r="A159" s="1" t="s">
        <v>51</v>
      </c>
      <c r="B159" s="1" t="s">
        <v>15</v>
      </c>
      <c r="C159" s="1">
        <v>3</v>
      </c>
      <c r="D159" s="1" t="s">
        <v>35</v>
      </c>
      <c r="E159" s="1" t="s">
        <v>36</v>
      </c>
      <c r="F159" s="1" t="s">
        <v>8</v>
      </c>
      <c r="G159" s="1">
        <v>38.44</v>
      </c>
      <c r="H159" s="1" t="s">
        <v>37</v>
      </c>
      <c r="I159" s="1" t="s">
        <v>37</v>
      </c>
      <c r="J159" s="1" t="s">
        <v>37</v>
      </c>
      <c r="K159" s="1" t="s">
        <v>38</v>
      </c>
      <c r="L159" s="1" t="s">
        <v>40</v>
      </c>
    </row>
    <row r="160" spans="1:14" x14ac:dyDescent="0.45">
      <c r="A160" s="1" t="s">
        <v>63</v>
      </c>
      <c r="B160" s="1" t="s">
        <v>15</v>
      </c>
      <c r="C160" s="1">
        <v>3</v>
      </c>
      <c r="D160" s="1" t="s">
        <v>35</v>
      </c>
      <c r="E160" s="1" t="s">
        <v>36</v>
      </c>
      <c r="F160" s="1" t="s">
        <v>8</v>
      </c>
      <c r="G160" s="1" t="s">
        <v>9</v>
      </c>
      <c r="H160" s="1" t="s">
        <v>37</v>
      </c>
      <c r="I160" s="1" t="s">
        <v>37</v>
      </c>
      <c r="J160" s="1" t="s">
        <v>37</v>
      </c>
      <c r="K160" s="1" t="s">
        <v>38</v>
      </c>
      <c r="L160" s="1" t="s">
        <v>40</v>
      </c>
    </row>
    <row r="161" spans="1:12" x14ac:dyDescent="0.45">
      <c r="A161" s="1" t="s">
        <v>134</v>
      </c>
      <c r="B161" s="1" t="s">
        <v>15</v>
      </c>
      <c r="C161" s="1">
        <v>3</v>
      </c>
      <c r="D161" s="1" t="s">
        <v>35</v>
      </c>
      <c r="E161" s="1" t="s">
        <v>36</v>
      </c>
      <c r="F161" s="1" t="s">
        <v>8</v>
      </c>
      <c r="G161" s="1" t="s">
        <v>9</v>
      </c>
      <c r="H161" s="1" t="s">
        <v>37</v>
      </c>
      <c r="I161" s="1" t="s">
        <v>37</v>
      </c>
      <c r="J161" s="1" t="s">
        <v>37</v>
      </c>
      <c r="K161" s="1" t="s">
        <v>38</v>
      </c>
      <c r="L161" s="1" t="s">
        <v>40</v>
      </c>
    </row>
    <row r="162" spans="1:12" x14ac:dyDescent="0.45">
      <c r="A162" s="1" t="s">
        <v>75</v>
      </c>
      <c r="B162" s="1" t="s">
        <v>15</v>
      </c>
      <c r="C162" s="1">
        <v>4</v>
      </c>
      <c r="D162" s="1" t="s">
        <v>35</v>
      </c>
      <c r="E162" s="1" t="s">
        <v>36</v>
      </c>
      <c r="F162" s="1" t="s">
        <v>8</v>
      </c>
      <c r="G162" s="1">
        <v>37.76</v>
      </c>
      <c r="H162" s="1" t="s">
        <v>37</v>
      </c>
      <c r="I162" s="1" t="s">
        <v>37</v>
      </c>
      <c r="J162" s="1" t="s">
        <v>37</v>
      </c>
      <c r="K162" s="1" t="s">
        <v>38</v>
      </c>
      <c r="L162" s="1" t="s">
        <v>40</v>
      </c>
    </row>
    <row r="163" spans="1:12" x14ac:dyDescent="0.45">
      <c r="A163" s="1" t="s">
        <v>87</v>
      </c>
      <c r="B163" s="1" t="s">
        <v>15</v>
      </c>
      <c r="C163" s="1">
        <v>4</v>
      </c>
      <c r="D163" s="1" t="s">
        <v>35</v>
      </c>
      <c r="E163" s="1" t="s">
        <v>36</v>
      </c>
      <c r="F163" s="1" t="s">
        <v>8</v>
      </c>
      <c r="G163" s="1" t="s">
        <v>9</v>
      </c>
      <c r="H163" s="1" t="s">
        <v>37</v>
      </c>
      <c r="I163" s="1" t="s">
        <v>37</v>
      </c>
      <c r="J163" s="1" t="s">
        <v>37</v>
      </c>
      <c r="K163" s="1" t="s">
        <v>38</v>
      </c>
      <c r="L163" s="1" t="s">
        <v>40</v>
      </c>
    </row>
    <row r="164" spans="1:12" x14ac:dyDescent="0.45">
      <c r="A164" s="1" t="s">
        <v>99</v>
      </c>
      <c r="B164" s="1" t="s">
        <v>15</v>
      </c>
      <c r="C164" s="1">
        <v>4</v>
      </c>
      <c r="D164" s="1" t="s">
        <v>35</v>
      </c>
      <c r="E164" s="1" t="s">
        <v>36</v>
      </c>
      <c r="F164" s="1" t="s">
        <v>8</v>
      </c>
      <c r="G164" s="1">
        <v>38.65</v>
      </c>
      <c r="H164" s="1" t="s">
        <v>37</v>
      </c>
      <c r="I164" s="1" t="s">
        <v>37</v>
      </c>
      <c r="J164" s="1" t="s">
        <v>37</v>
      </c>
      <c r="K164" s="1" t="s">
        <v>38</v>
      </c>
      <c r="L164" s="1" t="s">
        <v>40</v>
      </c>
    </row>
    <row r="165" spans="1:12" x14ac:dyDescent="0.45">
      <c r="A165" s="1" t="s">
        <v>111</v>
      </c>
      <c r="B165" s="1" t="s">
        <v>15</v>
      </c>
      <c r="C165" s="1">
        <v>5</v>
      </c>
      <c r="D165" s="1" t="s">
        <v>35</v>
      </c>
      <c r="E165" s="1" t="s">
        <v>36</v>
      </c>
      <c r="F165" s="1" t="s">
        <v>8</v>
      </c>
      <c r="G165" s="1">
        <v>35.869999999999997</v>
      </c>
      <c r="H165" s="1" t="s">
        <v>37</v>
      </c>
      <c r="I165" s="1" t="s">
        <v>37</v>
      </c>
      <c r="J165" s="1" t="s">
        <v>37</v>
      </c>
      <c r="K165" s="1" t="s">
        <v>38</v>
      </c>
      <c r="L165" s="1" t="s">
        <v>40</v>
      </c>
    </row>
    <row r="166" spans="1:12" x14ac:dyDescent="0.45">
      <c r="A166" s="1" t="s">
        <v>123</v>
      </c>
      <c r="B166" s="1" t="s">
        <v>15</v>
      </c>
      <c r="C166" s="1">
        <v>5</v>
      </c>
      <c r="D166" s="1" t="s">
        <v>35</v>
      </c>
      <c r="E166" s="1" t="s">
        <v>36</v>
      </c>
      <c r="F166" s="1" t="s">
        <v>8</v>
      </c>
      <c r="G166" s="1">
        <v>36.28</v>
      </c>
      <c r="H166" s="1" t="s">
        <v>37</v>
      </c>
      <c r="I166" s="1" t="s">
        <v>37</v>
      </c>
      <c r="J166" s="1" t="s">
        <v>37</v>
      </c>
      <c r="K166" s="1" t="s">
        <v>38</v>
      </c>
      <c r="L166" s="1" t="s">
        <v>40</v>
      </c>
    </row>
    <row r="167" spans="1:12" x14ac:dyDescent="0.45">
      <c r="A167" s="1" t="s">
        <v>135</v>
      </c>
      <c r="B167" s="1" t="s">
        <v>15</v>
      </c>
      <c r="C167" s="1">
        <v>5</v>
      </c>
      <c r="D167" s="1" t="s">
        <v>35</v>
      </c>
      <c r="E167" s="1" t="s">
        <v>36</v>
      </c>
      <c r="F167" s="1" t="s">
        <v>8</v>
      </c>
      <c r="G167" s="1">
        <v>38.08</v>
      </c>
      <c r="H167" s="1" t="s">
        <v>37</v>
      </c>
      <c r="I167" s="1" t="s">
        <v>37</v>
      </c>
      <c r="J167" s="1" t="s">
        <v>37</v>
      </c>
      <c r="K167" s="1" t="s">
        <v>38</v>
      </c>
      <c r="L167" s="1" t="s">
        <v>40</v>
      </c>
    </row>
    <row r="168" spans="1:12" x14ac:dyDescent="0.45">
      <c r="A168" s="1" t="s">
        <v>52</v>
      </c>
      <c r="B168" s="1" t="s">
        <v>15</v>
      </c>
      <c r="C168" s="1">
        <v>6</v>
      </c>
      <c r="D168" s="1" t="s">
        <v>35</v>
      </c>
      <c r="E168" s="1" t="s">
        <v>36</v>
      </c>
      <c r="F168" s="1" t="s">
        <v>8</v>
      </c>
      <c r="G168" s="1">
        <v>37.049999999999997</v>
      </c>
      <c r="H168" s="1" t="s">
        <v>37</v>
      </c>
      <c r="I168" s="1" t="s">
        <v>37</v>
      </c>
      <c r="J168" s="1" t="s">
        <v>37</v>
      </c>
      <c r="K168" s="1" t="s">
        <v>38</v>
      </c>
      <c r="L168" s="1" t="s">
        <v>40</v>
      </c>
    </row>
    <row r="169" spans="1:12" x14ac:dyDescent="0.45">
      <c r="A169" s="1" t="s">
        <v>64</v>
      </c>
      <c r="B169" s="1" t="s">
        <v>15</v>
      </c>
      <c r="C169" s="1">
        <v>6</v>
      </c>
      <c r="D169" s="1" t="s">
        <v>35</v>
      </c>
      <c r="E169" s="1" t="s">
        <v>36</v>
      </c>
      <c r="F169" s="1" t="s">
        <v>8</v>
      </c>
      <c r="G169" s="1">
        <v>37.159999999999997</v>
      </c>
      <c r="H169" s="1" t="s">
        <v>37</v>
      </c>
      <c r="I169" s="1" t="s">
        <v>37</v>
      </c>
      <c r="J169" s="1" t="s">
        <v>37</v>
      </c>
      <c r="K169" s="1" t="s">
        <v>38</v>
      </c>
      <c r="L169" s="1" t="s">
        <v>40</v>
      </c>
    </row>
    <row r="170" spans="1:12" x14ac:dyDescent="0.45">
      <c r="A170" s="1" t="s">
        <v>76</v>
      </c>
      <c r="B170" s="1" t="s">
        <v>15</v>
      </c>
      <c r="C170" s="1">
        <v>6</v>
      </c>
      <c r="D170" s="1" t="s">
        <v>35</v>
      </c>
      <c r="E170" s="1" t="s">
        <v>36</v>
      </c>
      <c r="F170" s="1" t="s">
        <v>8</v>
      </c>
      <c r="G170" s="1">
        <v>38.03</v>
      </c>
      <c r="H170" s="1" t="s">
        <v>37</v>
      </c>
      <c r="I170" s="1" t="s">
        <v>37</v>
      </c>
      <c r="J170" s="1" t="s">
        <v>37</v>
      </c>
      <c r="K170" s="1" t="s">
        <v>38</v>
      </c>
      <c r="L170" s="1" t="s">
        <v>40</v>
      </c>
    </row>
    <row r="171" spans="1:12" x14ac:dyDescent="0.45">
      <c r="A171" s="1" t="s">
        <v>88</v>
      </c>
      <c r="B171" s="1" t="s">
        <v>15</v>
      </c>
      <c r="C171" s="1">
        <v>7</v>
      </c>
      <c r="D171" s="1" t="s">
        <v>35</v>
      </c>
      <c r="E171" s="1" t="s">
        <v>36</v>
      </c>
      <c r="F171" s="1" t="s">
        <v>8</v>
      </c>
      <c r="G171" s="1" t="s">
        <v>9</v>
      </c>
      <c r="H171" s="1" t="s">
        <v>37</v>
      </c>
      <c r="I171" s="1" t="s">
        <v>37</v>
      </c>
      <c r="J171" s="1" t="s">
        <v>37</v>
      </c>
      <c r="K171" s="1" t="s">
        <v>38</v>
      </c>
      <c r="L171" s="1" t="s">
        <v>40</v>
      </c>
    </row>
    <row r="172" spans="1:12" x14ac:dyDescent="0.45">
      <c r="A172" s="1" t="s">
        <v>100</v>
      </c>
      <c r="B172" s="1" t="s">
        <v>15</v>
      </c>
      <c r="C172" s="1">
        <v>7</v>
      </c>
      <c r="D172" s="1" t="s">
        <v>35</v>
      </c>
      <c r="E172" s="1" t="s">
        <v>36</v>
      </c>
      <c r="F172" s="1" t="s">
        <v>8</v>
      </c>
      <c r="G172" s="1" t="s">
        <v>9</v>
      </c>
      <c r="H172" s="1" t="s">
        <v>37</v>
      </c>
      <c r="I172" s="1" t="s">
        <v>37</v>
      </c>
      <c r="J172" s="1" t="s">
        <v>37</v>
      </c>
      <c r="K172" s="1" t="s">
        <v>38</v>
      </c>
      <c r="L172" s="1" t="s">
        <v>40</v>
      </c>
    </row>
    <row r="173" spans="1:12" x14ac:dyDescent="0.45">
      <c r="A173" s="1" t="s">
        <v>112</v>
      </c>
      <c r="B173" s="1" t="s">
        <v>15</v>
      </c>
      <c r="C173" s="1">
        <v>7</v>
      </c>
      <c r="D173" s="1" t="s">
        <v>35</v>
      </c>
      <c r="E173" s="1" t="s">
        <v>36</v>
      </c>
      <c r="F173" s="1" t="s">
        <v>8</v>
      </c>
      <c r="G173" s="1">
        <v>36.299999999999997</v>
      </c>
      <c r="H173" s="1" t="s">
        <v>37</v>
      </c>
      <c r="I173" s="1" t="s">
        <v>37</v>
      </c>
      <c r="J173" s="1" t="s">
        <v>37</v>
      </c>
      <c r="K173" s="1" t="s">
        <v>38</v>
      </c>
      <c r="L173" s="1" t="s">
        <v>40</v>
      </c>
    </row>
    <row r="174" spans="1:12" x14ac:dyDescent="0.45">
      <c r="A174" s="1" t="s">
        <v>53</v>
      </c>
      <c r="B174" s="1" t="s">
        <v>15</v>
      </c>
      <c r="C174" s="1">
        <v>8</v>
      </c>
      <c r="D174" s="1" t="s">
        <v>35</v>
      </c>
      <c r="E174" s="1" t="s">
        <v>36</v>
      </c>
      <c r="F174" s="1" t="s">
        <v>8</v>
      </c>
      <c r="G174" s="1" t="s">
        <v>9</v>
      </c>
      <c r="H174" s="1" t="s">
        <v>37</v>
      </c>
      <c r="I174" s="1" t="s">
        <v>37</v>
      </c>
      <c r="J174" s="1" t="s">
        <v>37</v>
      </c>
      <c r="K174" s="1" t="s">
        <v>38</v>
      </c>
      <c r="L174" s="1" t="s">
        <v>40</v>
      </c>
    </row>
    <row r="175" spans="1:12" x14ac:dyDescent="0.45">
      <c r="A175" s="1" t="s">
        <v>124</v>
      </c>
      <c r="B175" s="1" t="s">
        <v>15</v>
      </c>
      <c r="C175" s="1">
        <v>8</v>
      </c>
      <c r="D175" s="1" t="s">
        <v>35</v>
      </c>
      <c r="E175" s="1" t="s">
        <v>36</v>
      </c>
      <c r="F175" s="1" t="s">
        <v>8</v>
      </c>
      <c r="G175" s="1">
        <v>39.83</v>
      </c>
      <c r="H175" s="1" t="s">
        <v>37</v>
      </c>
      <c r="I175" s="1" t="s">
        <v>37</v>
      </c>
      <c r="J175" s="1" t="s">
        <v>37</v>
      </c>
      <c r="K175" s="1" t="s">
        <v>38</v>
      </c>
      <c r="L175" s="1" t="s">
        <v>40</v>
      </c>
    </row>
    <row r="176" spans="1:12" x14ac:dyDescent="0.45">
      <c r="A176" s="1" t="s">
        <v>136</v>
      </c>
      <c r="B176" s="1" t="s">
        <v>15</v>
      </c>
      <c r="C176" s="1">
        <v>8</v>
      </c>
      <c r="D176" s="1" t="s">
        <v>35</v>
      </c>
      <c r="E176" s="1" t="s">
        <v>36</v>
      </c>
      <c r="F176" s="1" t="s">
        <v>8</v>
      </c>
      <c r="G176" s="1" t="s">
        <v>9</v>
      </c>
      <c r="H176" s="1" t="s">
        <v>37</v>
      </c>
      <c r="I176" s="1" t="s">
        <v>37</v>
      </c>
      <c r="J176" s="1" t="s">
        <v>37</v>
      </c>
      <c r="K176" s="1" t="s">
        <v>38</v>
      </c>
      <c r="L176" s="1" t="s">
        <v>40</v>
      </c>
    </row>
    <row r="177" spans="1:12" x14ac:dyDescent="0.45">
      <c r="A177" s="1" t="s">
        <v>65</v>
      </c>
      <c r="B177" s="1" t="s">
        <v>15</v>
      </c>
      <c r="C177" s="1">
        <v>9</v>
      </c>
      <c r="D177" s="1" t="s">
        <v>35</v>
      </c>
      <c r="E177" s="1" t="s">
        <v>36</v>
      </c>
      <c r="F177" s="1" t="s">
        <v>8</v>
      </c>
      <c r="G177" s="1">
        <v>38.770000000000003</v>
      </c>
      <c r="H177" s="1" t="s">
        <v>37</v>
      </c>
      <c r="I177" s="1" t="s">
        <v>37</v>
      </c>
      <c r="J177" s="1" t="s">
        <v>37</v>
      </c>
      <c r="K177" s="1" t="s">
        <v>38</v>
      </c>
      <c r="L177" s="1" t="s">
        <v>40</v>
      </c>
    </row>
    <row r="178" spans="1:12" x14ac:dyDescent="0.45">
      <c r="A178" s="1" t="s">
        <v>77</v>
      </c>
      <c r="B178" s="1" t="s">
        <v>15</v>
      </c>
      <c r="C178" s="1">
        <v>9</v>
      </c>
      <c r="D178" s="1" t="s">
        <v>35</v>
      </c>
      <c r="E178" s="1" t="s">
        <v>36</v>
      </c>
      <c r="F178" s="1" t="s">
        <v>8</v>
      </c>
      <c r="G178" s="1">
        <v>38.229999999999997</v>
      </c>
      <c r="H178" s="1" t="s">
        <v>37</v>
      </c>
      <c r="I178" s="1" t="s">
        <v>37</v>
      </c>
      <c r="J178" s="1" t="s">
        <v>37</v>
      </c>
      <c r="K178" s="1" t="s">
        <v>38</v>
      </c>
      <c r="L178" s="1" t="s">
        <v>40</v>
      </c>
    </row>
    <row r="179" spans="1:12" x14ac:dyDescent="0.45">
      <c r="A179" s="1" t="s">
        <v>89</v>
      </c>
      <c r="B179" s="1" t="s">
        <v>15</v>
      </c>
      <c r="C179" s="1">
        <v>9</v>
      </c>
      <c r="D179" s="1" t="s">
        <v>35</v>
      </c>
      <c r="E179" s="1" t="s">
        <v>36</v>
      </c>
      <c r="F179" s="1" t="s">
        <v>8</v>
      </c>
      <c r="G179" s="1">
        <v>37.4</v>
      </c>
      <c r="H179" s="1" t="s">
        <v>37</v>
      </c>
      <c r="I179" s="1" t="s">
        <v>37</v>
      </c>
      <c r="J179" s="1" t="s">
        <v>37</v>
      </c>
      <c r="K179" s="1" t="s">
        <v>38</v>
      </c>
      <c r="L179" s="1" t="s">
        <v>40</v>
      </c>
    </row>
    <row r="180" spans="1:12" x14ac:dyDescent="0.45">
      <c r="A180" s="1" t="s">
        <v>101</v>
      </c>
      <c r="B180" s="1" t="s">
        <v>15</v>
      </c>
      <c r="C180" s="1">
        <v>10</v>
      </c>
      <c r="D180" s="1" t="s">
        <v>35</v>
      </c>
      <c r="E180" s="1" t="s">
        <v>36</v>
      </c>
      <c r="F180" s="1" t="s">
        <v>8</v>
      </c>
      <c r="G180" s="1" t="s">
        <v>9</v>
      </c>
      <c r="H180" s="1" t="s">
        <v>37</v>
      </c>
      <c r="I180" s="1" t="s">
        <v>37</v>
      </c>
      <c r="J180" s="1" t="s">
        <v>37</v>
      </c>
      <c r="K180" s="1" t="s">
        <v>38</v>
      </c>
      <c r="L180" s="1" t="s">
        <v>40</v>
      </c>
    </row>
    <row r="181" spans="1:12" x14ac:dyDescent="0.45">
      <c r="A181" s="1" t="s">
        <v>113</v>
      </c>
      <c r="B181" s="1" t="s">
        <v>15</v>
      </c>
      <c r="C181" s="1">
        <v>10</v>
      </c>
      <c r="D181" s="1" t="s">
        <v>35</v>
      </c>
      <c r="E181" s="1" t="s">
        <v>36</v>
      </c>
      <c r="F181" s="1" t="s">
        <v>8</v>
      </c>
      <c r="G181" s="1" t="s">
        <v>9</v>
      </c>
      <c r="H181" s="1" t="s">
        <v>37</v>
      </c>
      <c r="I181" s="1" t="s">
        <v>37</v>
      </c>
      <c r="J181" s="1" t="s">
        <v>37</v>
      </c>
      <c r="K181" s="1" t="s">
        <v>38</v>
      </c>
      <c r="L181" s="1" t="s">
        <v>40</v>
      </c>
    </row>
    <row r="182" spans="1:12" x14ac:dyDescent="0.45">
      <c r="A182" s="1" t="s">
        <v>125</v>
      </c>
      <c r="B182" s="1" t="s">
        <v>15</v>
      </c>
      <c r="C182" s="1">
        <v>10</v>
      </c>
      <c r="D182" s="1" t="s">
        <v>35</v>
      </c>
      <c r="E182" s="1" t="s">
        <v>36</v>
      </c>
      <c r="F182" s="1" t="s">
        <v>8</v>
      </c>
      <c r="G182" s="1" t="s">
        <v>9</v>
      </c>
      <c r="H182" s="1" t="s">
        <v>37</v>
      </c>
      <c r="I182" s="1" t="s">
        <v>37</v>
      </c>
      <c r="J182" s="1" t="s">
        <v>37</v>
      </c>
      <c r="K182" s="1" t="s">
        <v>38</v>
      </c>
      <c r="L182" s="1" t="s">
        <v>40</v>
      </c>
    </row>
    <row r="183" spans="1:12" x14ac:dyDescent="0.45">
      <c r="A183" s="1" t="s">
        <v>54</v>
      </c>
      <c r="B183" s="1" t="s">
        <v>15</v>
      </c>
      <c r="C183" s="1">
        <v>11</v>
      </c>
      <c r="D183" s="1" t="s">
        <v>35</v>
      </c>
      <c r="E183" s="1" t="s">
        <v>36</v>
      </c>
      <c r="F183" s="1" t="s">
        <v>8</v>
      </c>
      <c r="G183" s="1">
        <v>38.44</v>
      </c>
      <c r="H183" s="1" t="s">
        <v>37</v>
      </c>
      <c r="I183" s="1" t="s">
        <v>37</v>
      </c>
      <c r="J183" s="1" t="s">
        <v>37</v>
      </c>
      <c r="K183" s="1" t="s">
        <v>38</v>
      </c>
      <c r="L183" s="1" t="s">
        <v>40</v>
      </c>
    </row>
    <row r="184" spans="1:12" x14ac:dyDescent="0.45">
      <c r="A184" s="1" t="s">
        <v>66</v>
      </c>
      <c r="B184" s="1" t="s">
        <v>15</v>
      </c>
      <c r="C184" s="1">
        <v>11</v>
      </c>
      <c r="D184" s="1" t="s">
        <v>35</v>
      </c>
      <c r="E184" s="1" t="s">
        <v>36</v>
      </c>
      <c r="F184" s="1" t="s">
        <v>8</v>
      </c>
      <c r="G184" s="1" t="s">
        <v>9</v>
      </c>
      <c r="H184" s="1" t="s">
        <v>37</v>
      </c>
      <c r="I184" s="1" t="s">
        <v>37</v>
      </c>
      <c r="J184" s="1" t="s">
        <v>37</v>
      </c>
      <c r="K184" s="1" t="s">
        <v>38</v>
      </c>
      <c r="L184" s="1" t="s">
        <v>40</v>
      </c>
    </row>
    <row r="185" spans="1:12" x14ac:dyDescent="0.45">
      <c r="A185" s="1" t="s">
        <v>137</v>
      </c>
      <c r="B185" s="1" t="s">
        <v>15</v>
      </c>
      <c r="C185" s="1">
        <v>11</v>
      </c>
      <c r="D185" s="1" t="s">
        <v>35</v>
      </c>
      <c r="E185" s="1" t="s">
        <v>36</v>
      </c>
      <c r="F185" s="1" t="s">
        <v>8</v>
      </c>
      <c r="G185" s="1" t="s">
        <v>9</v>
      </c>
      <c r="H185" s="1" t="s">
        <v>37</v>
      </c>
      <c r="I185" s="1" t="s">
        <v>37</v>
      </c>
      <c r="J185" s="1" t="s">
        <v>37</v>
      </c>
      <c r="K185" s="1" t="s">
        <v>38</v>
      </c>
      <c r="L185" s="1" t="s">
        <v>40</v>
      </c>
    </row>
    <row r="186" spans="1:12" x14ac:dyDescent="0.45">
      <c r="A186" s="1" t="s">
        <v>78</v>
      </c>
      <c r="B186" s="1" t="s">
        <v>15</v>
      </c>
      <c r="C186" s="1">
        <v>12</v>
      </c>
      <c r="D186" s="1" t="s">
        <v>35</v>
      </c>
      <c r="E186" s="1" t="s">
        <v>36</v>
      </c>
      <c r="F186" s="1" t="s">
        <v>8</v>
      </c>
      <c r="G186" s="1">
        <v>31.86</v>
      </c>
      <c r="H186" s="1" t="s">
        <v>37</v>
      </c>
      <c r="I186" s="1" t="s">
        <v>37</v>
      </c>
      <c r="J186" s="1" t="s">
        <v>37</v>
      </c>
      <c r="K186" s="1" t="s">
        <v>38</v>
      </c>
      <c r="L186" s="1" t="s">
        <v>40</v>
      </c>
    </row>
    <row r="187" spans="1:12" x14ac:dyDescent="0.45">
      <c r="A187" s="1" t="s">
        <v>90</v>
      </c>
      <c r="B187" s="1" t="s">
        <v>15</v>
      </c>
      <c r="C187" s="1">
        <v>12</v>
      </c>
      <c r="D187" s="1" t="s">
        <v>35</v>
      </c>
      <c r="E187" s="1" t="s">
        <v>36</v>
      </c>
      <c r="F187" s="1" t="s">
        <v>8</v>
      </c>
      <c r="G187" s="1">
        <v>32.22</v>
      </c>
      <c r="H187" s="1" t="s">
        <v>37</v>
      </c>
      <c r="I187" s="1" t="s">
        <v>37</v>
      </c>
      <c r="J187" s="1" t="s">
        <v>37</v>
      </c>
      <c r="K187" s="1" t="s">
        <v>38</v>
      </c>
      <c r="L187" s="1" t="s">
        <v>40</v>
      </c>
    </row>
    <row r="188" spans="1:12" x14ac:dyDescent="0.45">
      <c r="A188" s="1" t="s">
        <v>102</v>
      </c>
      <c r="B188" s="1" t="s">
        <v>15</v>
      </c>
      <c r="C188" s="1">
        <v>12</v>
      </c>
      <c r="D188" s="1" t="s">
        <v>35</v>
      </c>
      <c r="E188" s="1" t="s">
        <v>36</v>
      </c>
      <c r="F188" s="1" t="s">
        <v>8</v>
      </c>
      <c r="G188" s="1">
        <v>31.12</v>
      </c>
      <c r="H188" s="1" t="s">
        <v>37</v>
      </c>
      <c r="I188" s="1" t="s">
        <v>37</v>
      </c>
      <c r="J188" s="1" t="s">
        <v>37</v>
      </c>
      <c r="K188" s="1" t="s">
        <v>38</v>
      </c>
      <c r="L188" s="1" t="s">
        <v>40</v>
      </c>
    </row>
    <row r="189" spans="1:12" x14ac:dyDescent="0.45">
      <c r="A189" s="1" t="s">
        <v>114</v>
      </c>
      <c r="B189" s="1" t="s">
        <v>15</v>
      </c>
      <c r="C189" s="1">
        <v>13</v>
      </c>
      <c r="D189" s="1" t="s">
        <v>35</v>
      </c>
      <c r="E189" s="1" t="s">
        <v>36</v>
      </c>
      <c r="F189" s="1" t="s">
        <v>8</v>
      </c>
      <c r="G189" s="1">
        <v>37.03</v>
      </c>
      <c r="H189" s="1" t="s">
        <v>37</v>
      </c>
      <c r="I189" s="1" t="s">
        <v>37</v>
      </c>
      <c r="J189" s="1" t="s">
        <v>37</v>
      </c>
      <c r="K189" s="1" t="s">
        <v>38</v>
      </c>
      <c r="L189" s="1" t="s">
        <v>40</v>
      </c>
    </row>
    <row r="190" spans="1:12" x14ac:dyDescent="0.45">
      <c r="A190" s="1" t="s">
        <v>126</v>
      </c>
      <c r="B190" s="1" t="s">
        <v>15</v>
      </c>
      <c r="C190" s="1">
        <v>13</v>
      </c>
      <c r="D190" s="1" t="s">
        <v>35</v>
      </c>
      <c r="E190" s="1" t="s">
        <v>36</v>
      </c>
      <c r="F190" s="1" t="s">
        <v>8</v>
      </c>
      <c r="G190" s="1">
        <v>38.369999999999997</v>
      </c>
      <c r="H190" s="1" t="s">
        <v>37</v>
      </c>
      <c r="I190" s="1" t="s">
        <v>37</v>
      </c>
      <c r="J190" s="1" t="s">
        <v>37</v>
      </c>
      <c r="K190" s="1" t="s">
        <v>38</v>
      </c>
      <c r="L190" s="1" t="s">
        <v>40</v>
      </c>
    </row>
    <row r="191" spans="1:12" x14ac:dyDescent="0.45">
      <c r="A191" s="1" t="s">
        <v>138</v>
      </c>
      <c r="B191" s="1" t="s">
        <v>15</v>
      </c>
      <c r="C191" s="1">
        <v>13</v>
      </c>
      <c r="D191" s="1" t="s">
        <v>35</v>
      </c>
      <c r="E191" s="1" t="s">
        <v>36</v>
      </c>
      <c r="F191" s="1" t="s">
        <v>8</v>
      </c>
      <c r="G191" s="1">
        <v>37.08</v>
      </c>
      <c r="H191" s="1" t="s">
        <v>37</v>
      </c>
      <c r="I191" s="1" t="s">
        <v>37</v>
      </c>
      <c r="J191" s="1" t="s">
        <v>37</v>
      </c>
      <c r="K191" s="1" t="s">
        <v>38</v>
      </c>
      <c r="L191" s="1" t="s">
        <v>40</v>
      </c>
    </row>
    <row r="192" spans="1:12" x14ac:dyDescent="0.45">
      <c r="A192" s="1" t="s">
        <v>55</v>
      </c>
      <c r="B192" s="1" t="s">
        <v>15</v>
      </c>
      <c r="C192" s="1">
        <v>14</v>
      </c>
      <c r="D192" s="1" t="s">
        <v>35</v>
      </c>
      <c r="E192" s="1" t="s">
        <v>36</v>
      </c>
      <c r="F192" s="1" t="s">
        <v>8</v>
      </c>
      <c r="G192" s="1" t="s">
        <v>9</v>
      </c>
      <c r="H192" s="1" t="s">
        <v>37</v>
      </c>
      <c r="I192" s="1" t="s">
        <v>37</v>
      </c>
      <c r="J192" s="1" t="s">
        <v>37</v>
      </c>
      <c r="K192" s="1" t="s">
        <v>38</v>
      </c>
      <c r="L192" s="1" t="s">
        <v>40</v>
      </c>
    </row>
    <row r="193" spans="1:12" x14ac:dyDescent="0.45">
      <c r="A193" s="1" t="s">
        <v>67</v>
      </c>
      <c r="B193" s="1" t="s">
        <v>15</v>
      </c>
      <c r="C193" s="1">
        <v>14</v>
      </c>
      <c r="D193" s="1" t="s">
        <v>35</v>
      </c>
      <c r="E193" s="1" t="s">
        <v>36</v>
      </c>
      <c r="F193" s="1" t="s">
        <v>8</v>
      </c>
      <c r="G193" s="1" t="s">
        <v>9</v>
      </c>
      <c r="H193" s="1" t="s">
        <v>37</v>
      </c>
      <c r="I193" s="1" t="s">
        <v>37</v>
      </c>
      <c r="J193" s="1" t="s">
        <v>37</v>
      </c>
      <c r="K193" s="1" t="s">
        <v>38</v>
      </c>
      <c r="L193" s="1" t="s">
        <v>40</v>
      </c>
    </row>
    <row r="194" spans="1:12" x14ac:dyDescent="0.45">
      <c r="A194" s="1" t="s">
        <v>79</v>
      </c>
      <c r="B194" s="1" t="s">
        <v>15</v>
      </c>
      <c r="C194" s="1">
        <v>14</v>
      </c>
      <c r="D194" s="1" t="s">
        <v>35</v>
      </c>
      <c r="E194" s="1" t="s">
        <v>36</v>
      </c>
      <c r="F194" s="1" t="s">
        <v>8</v>
      </c>
      <c r="G194" s="1" t="s">
        <v>9</v>
      </c>
      <c r="H194" s="1" t="s">
        <v>37</v>
      </c>
      <c r="I194" s="1" t="s">
        <v>37</v>
      </c>
      <c r="J194" s="1" t="s">
        <v>37</v>
      </c>
      <c r="K194" s="1" t="s">
        <v>38</v>
      </c>
      <c r="L194" s="1" t="s">
        <v>40</v>
      </c>
    </row>
    <row r="195" spans="1:12" x14ac:dyDescent="0.45">
      <c r="A195" s="1" t="s">
        <v>91</v>
      </c>
      <c r="B195" s="1" t="s">
        <v>15</v>
      </c>
      <c r="C195" s="1">
        <v>15</v>
      </c>
      <c r="D195" s="1" t="s">
        <v>35</v>
      </c>
      <c r="E195" s="1" t="s">
        <v>36</v>
      </c>
      <c r="F195" s="1" t="s">
        <v>8</v>
      </c>
      <c r="G195" s="1">
        <v>38.17</v>
      </c>
      <c r="H195" s="1" t="s">
        <v>37</v>
      </c>
      <c r="I195" s="1" t="s">
        <v>37</v>
      </c>
      <c r="J195" s="1" t="s">
        <v>37</v>
      </c>
      <c r="K195" s="1" t="s">
        <v>38</v>
      </c>
      <c r="L195" s="1" t="s">
        <v>40</v>
      </c>
    </row>
    <row r="196" spans="1:12" x14ac:dyDescent="0.45">
      <c r="A196" s="1" t="s">
        <v>103</v>
      </c>
      <c r="B196" s="1" t="s">
        <v>15</v>
      </c>
      <c r="C196" s="1">
        <v>15</v>
      </c>
      <c r="D196" s="1" t="s">
        <v>35</v>
      </c>
      <c r="E196" s="1" t="s">
        <v>36</v>
      </c>
      <c r="F196" s="1" t="s">
        <v>8</v>
      </c>
      <c r="G196" s="1" t="s">
        <v>9</v>
      </c>
      <c r="H196" s="1" t="s">
        <v>37</v>
      </c>
      <c r="I196" s="1" t="s">
        <v>37</v>
      </c>
      <c r="J196" s="1" t="s">
        <v>37</v>
      </c>
      <c r="K196" s="1" t="s">
        <v>38</v>
      </c>
      <c r="L196" s="1" t="s">
        <v>40</v>
      </c>
    </row>
    <row r="197" spans="1:12" x14ac:dyDescent="0.45">
      <c r="A197" s="1" t="s">
        <v>115</v>
      </c>
      <c r="B197" s="1" t="s">
        <v>15</v>
      </c>
      <c r="C197" s="1">
        <v>15</v>
      </c>
      <c r="D197" s="1" t="s">
        <v>35</v>
      </c>
      <c r="E197" s="1" t="s">
        <v>36</v>
      </c>
      <c r="F197" s="1" t="s">
        <v>8</v>
      </c>
      <c r="G197" s="1">
        <v>37.409999999999997</v>
      </c>
      <c r="H197" s="1" t="s">
        <v>37</v>
      </c>
      <c r="I197" s="1" t="s">
        <v>37</v>
      </c>
      <c r="J197" s="1" t="s">
        <v>37</v>
      </c>
      <c r="K197" s="1" t="s">
        <v>38</v>
      </c>
      <c r="L197" s="1" t="s">
        <v>40</v>
      </c>
    </row>
    <row r="198" spans="1:12" x14ac:dyDescent="0.45">
      <c r="A198" s="1" t="s">
        <v>56</v>
      </c>
      <c r="B198" s="1" t="s">
        <v>15</v>
      </c>
      <c r="C198" s="1">
        <v>16</v>
      </c>
      <c r="D198" s="1" t="s">
        <v>35</v>
      </c>
      <c r="E198" s="1" t="s">
        <v>36</v>
      </c>
      <c r="F198" s="1" t="s">
        <v>8</v>
      </c>
      <c r="G198" s="1">
        <v>37.35</v>
      </c>
      <c r="H198" s="1" t="s">
        <v>37</v>
      </c>
      <c r="I198" s="1" t="s">
        <v>37</v>
      </c>
      <c r="J198" s="1" t="s">
        <v>37</v>
      </c>
      <c r="K198" s="1" t="s">
        <v>38</v>
      </c>
      <c r="L198" s="1" t="s">
        <v>40</v>
      </c>
    </row>
    <row r="199" spans="1:12" x14ac:dyDescent="0.45">
      <c r="A199" s="1" t="s">
        <v>127</v>
      </c>
      <c r="B199" s="1" t="s">
        <v>15</v>
      </c>
      <c r="C199" s="1">
        <v>16</v>
      </c>
      <c r="D199" s="1" t="s">
        <v>35</v>
      </c>
      <c r="E199" s="1" t="s">
        <v>36</v>
      </c>
      <c r="F199" s="1" t="s">
        <v>8</v>
      </c>
      <c r="G199" s="1">
        <v>39.79</v>
      </c>
      <c r="H199" s="1" t="s">
        <v>37</v>
      </c>
      <c r="I199" s="1" t="s">
        <v>37</v>
      </c>
      <c r="J199" s="1" t="s">
        <v>37</v>
      </c>
      <c r="K199" s="1" t="s">
        <v>38</v>
      </c>
      <c r="L199" s="1" t="s">
        <v>40</v>
      </c>
    </row>
    <row r="200" spans="1:12" x14ac:dyDescent="0.45">
      <c r="A200" s="1" t="s">
        <v>139</v>
      </c>
      <c r="B200" s="1" t="s">
        <v>15</v>
      </c>
      <c r="C200" s="1">
        <v>16</v>
      </c>
      <c r="D200" s="1" t="s">
        <v>35</v>
      </c>
      <c r="E200" s="1" t="s">
        <v>36</v>
      </c>
      <c r="F200" s="1" t="s">
        <v>8</v>
      </c>
      <c r="G200" s="1" t="s">
        <v>9</v>
      </c>
      <c r="H200" s="1" t="s">
        <v>37</v>
      </c>
      <c r="I200" s="1" t="s">
        <v>37</v>
      </c>
      <c r="J200" s="1" t="s">
        <v>37</v>
      </c>
      <c r="K200" s="1" t="s">
        <v>38</v>
      </c>
      <c r="L200" s="1" t="s">
        <v>40</v>
      </c>
    </row>
    <row r="201" spans="1:12" x14ac:dyDescent="0.45">
      <c r="A201" s="1" t="s">
        <v>68</v>
      </c>
      <c r="B201" s="1" t="s">
        <v>15</v>
      </c>
      <c r="C201" s="1">
        <v>17</v>
      </c>
      <c r="D201" s="1" t="s">
        <v>35</v>
      </c>
      <c r="E201" s="1" t="s">
        <v>36</v>
      </c>
      <c r="F201" s="1" t="s">
        <v>8</v>
      </c>
      <c r="G201" s="1" t="s">
        <v>9</v>
      </c>
      <c r="H201" s="1" t="s">
        <v>37</v>
      </c>
      <c r="I201" s="1" t="s">
        <v>37</v>
      </c>
      <c r="J201" s="1" t="s">
        <v>37</v>
      </c>
      <c r="K201" s="1" t="s">
        <v>38</v>
      </c>
      <c r="L201" s="1" t="s">
        <v>40</v>
      </c>
    </row>
    <row r="202" spans="1:12" x14ac:dyDescent="0.45">
      <c r="A202" s="1" t="s">
        <v>80</v>
      </c>
      <c r="B202" s="1" t="s">
        <v>15</v>
      </c>
      <c r="C202" s="1">
        <v>17</v>
      </c>
      <c r="D202" s="1" t="s">
        <v>35</v>
      </c>
      <c r="E202" s="1" t="s">
        <v>36</v>
      </c>
      <c r="F202" s="1" t="s">
        <v>8</v>
      </c>
      <c r="G202" s="1" t="s">
        <v>9</v>
      </c>
      <c r="H202" s="1" t="s">
        <v>37</v>
      </c>
      <c r="I202" s="1" t="s">
        <v>37</v>
      </c>
      <c r="J202" s="1" t="s">
        <v>37</v>
      </c>
      <c r="K202" s="1" t="s">
        <v>38</v>
      </c>
      <c r="L202" s="1" t="s">
        <v>40</v>
      </c>
    </row>
    <row r="203" spans="1:12" x14ac:dyDescent="0.45">
      <c r="A203" s="1" t="s">
        <v>92</v>
      </c>
      <c r="B203" s="1" t="s">
        <v>15</v>
      </c>
      <c r="C203" s="1">
        <v>17</v>
      </c>
      <c r="D203" s="1" t="s">
        <v>35</v>
      </c>
      <c r="E203" s="1" t="s">
        <v>36</v>
      </c>
      <c r="F203" s="1" t="s">
        <v>8</v>
      </c>
      <c r="G203" s="1" t="s">
        <v>9</v>
      </c>
      <c r="H203" s="1" t="s">
        <v>37</v>
      </c>
      <c r="I203" s="1" t="s">
        <v>37</v>
      </c>
      <c r="J203" s="1" t="s">
        <v>37</v>
      </c>
      <c r="K203" s="1" t="s">
        <v>38</v>
      </c>
      <c r="L203" s="1" t="s">
        <v>40</v>
      </c>
    </row>
    <row r="204" spans="1:12" x14ac:dyDescent="0.45">
      <c r="A204" s="1" t="s">
        <v>104</v>
      </c>
      <c r="B204" s="1" t="s">
        <v>15</v>
      </c>
      <c r="C204" s="1">
        <v>18</v>
      </c>
      <c r="D204" s="1" t="s">
        <v>35</v>
      </c>
      <c r="E204" s="1" t="s">
        <v>36</v>
      </c>
      <c r="F204" s="1" t="s">
        <v>8</v>
      </c>
      <c r="G204" s="1" t="s">
        <v>9</v>
      </c>
      <c r="H204" s="1" t="s">
        <v>37</v>
      </c>
      <c r="I204" s="1" t="s">
        <v>37</v>
      </c>
      <c r="J204" s="1" t="s">
        <v>37</v>
      </c>
      <c r="K204" s="1" t="s">
        <v>38</v>
      </c>
      <c r="L204" s="1" t="s">
        <v>40</v>
      </c>
    </row>
    <row r="205" spans="1:12" x14ac:dyDescent="0.45">
      <c r="A205" s="1" t="s">
        <v>116</v>
      </c>
      <c r="B205" s="1" t="s">
        <v>15</v>
      </c>
      <c r="C205" s="1">
        <v>18</v>
      </c>
      <c r="D205" s="1" t="s">
        <v>35</v>
      </c>
      <c r="E205" s="1" t="s">
        <v>36</v>
      </c>
      <c r="F205" s="1" t="s">
        <v>8</v>
      </c>
      <c r="G205" s="1" t="s">
        <v>9</v>
      </c>
      <c r="H205" s="1" t="s">
        <v>37</v>
      </c>
      <c r="I205" s="1" t="s">
        <v>37</v>
      </c>
      <c r="J205" s="1" t="s">
        <v>37</v>
      </c>
      <c r="K205" s="1" t="s">
        <v>38</v>
      </c>
      <c r="L205" s="1" t="s">
        <v>40</v>
      </c>
    </row>
    <row r="206" spans="1:12" x14ac:dyDescent="0.45">
      <c r="A206" s="1" t="s">
        <v>128</v>
      </c>
      <c r="B206" s="1" t="s">
        <v>15</v>
      </c>
      <c r="C206" s="1">
        <v>18</v>
      </c>
      <c r="D206" s="1" t="s">
        <v>35</v>
      </c>
      <c r="E206" s="1" t="s">
        <v>36</v>
      </c>
      <c r="F206" s="1" t="s">
        <v>8</v>
      </c>
      <c r="G206" s="1" t="s">
        <v>9</v>
      </c>
      <c r="H206" s="1" t="s">
        <v>37</v>
      </c>
      <c r="I206" s="1" t="s">
        <v>37</v>
      </c>
      <c r="J206" s="1" t="s">
        <v>37</v>
      </c>
      <c r="K206" s="1" t="s">
        <v>38</v>
      </c>
      <c r="L206" s="1" t="s">
        <v>40</v>
      </c>
    </row>
    <row r="207" spans="1:12" x14ac:dyDescent="0.45">
      <c r="A207" s="1" t="s">
        <v>57</v>
      </c>
      <c r="B207" s="1" t="s">
        <v>15</v>
      </c>
      <c r="C207" s="1">
        <v>19</v>
      </c>
      <c r="D207" s="1" t="s">
        <v>35</v>
      </c>
      <c r="E207" s="1" t="s">
        <v>36</v>
      </c>
      <c r="F207" s="1" t="s">
        <v>8</v>
      </c>
      <c r="G207" s="1">
        <v>37.31</v>
      </c>
      <c r="H207" s="1" t="s">
        <v>37</v>
      </c>
      <c r="I207" s="1" t="s">
        <v>37</v>
      </c>
      <c r="J207" s="1" t="s">
        <v>37</v>
      </c>
      <c r="K207" s="1" t="s">
        <v>38</v>
      </c>
      <c r="L207" s="1" t="s">
        <v>40</v>
      </c>
    </row>
    <row r="208" spans="1:12" x14ac:dyDescent="0.45">
      <c r="A208" s="1" t="s">
        <v>69</v>
      </c>
      <c r="B208" s="1" t="s">
        <v>15</v>
      </c>
      <c r="C208" s="1">
        <v>19</v>
      </c>
      <c r="D208" s="1" t="s">
        <v>35</v>
      </c>
      <c r="E208" s="1" t="s">
        <v>36</v>
      </c>
      <c r="F208" s="1" t="s">
        <v>8</v>
      </c>
      <c r="G208" s="1">
        <v>36.79</v>
      </c>
      <c r="H208" s="1" t="s">
        <v>37</v>
      </c>
      <c r="I208" s="1" t="s">
        <v>37</v>
      </c>
      <c r="J208" s="1" t="s">
        <v>37</v>
      </c>
      <c r="K208" s="1" t="s">
        <v>38</v>
      </c>
      <c r="L208" s="1" t="s">
        <v>40</v>
      </c>
    </row>
    <row r="209" spans="1:12" x14ac:dyDescent="0.45">
      <c r="A209" s="1" t="s">
        <v>140</v>
      </c>
      <c r="B209" s="1" t="s">
        <v>15</v>
      </c>
      <c r="C209" s="1">
        <v>19</v>
      </c>
      <c r="D209" s="1" t="s">
        <v>35</v>
      </c>
      <c r="E209" s="1" t="s">
        <v>36</v>
      </c>
      <c r="F209" s="1" t="s">
        <v>8</v>
      </c>
      <c r="G209" s="1">
        <v>39.590000000000003</v>
      </c>
      <c r="H209" s="1" t="s">
        <v>37</v>
      </c>
      <c r="I209" s="1" t="s">
        <v>37</v>
      </c>
      <c r="J209" s="1" t="s">
        <v>37</v>
      </c>
      <c r="K209" s="1" t="s">
        <v>38</v>
      </c>
      <c r="L209" s="1" t="s">
        <v>40</v>
      </c>
    </row>
    <row r="210" spans="1:12" x14ac:dyDescent="0.45">
      <c r="A210" s="1" t="s">
        <v>81</v>
      </c>
      <c r="B210" s="1" t="s">
        <v>15</v>
      </c>
      <c r="C210" s="1">
        <v>20</v>
      </c>
      <c r="D210" s="1" t="s">
        <v>35</v>
      </c>
      <c r="E210" s="1" t="s">
        <v>36</v>
      </c>
      <c r="F210" s="1" t="s">
        <v>8</v>
      </c>
      <c r="G210" s="1">
        <v>36.22</v>
      </c>
      <c r="H210" s="1" t="s">
        <v>37</v>
      </c>
      <c r="I210" s="1" t="s">
        <v>37</v>
      </c>
      <c r="J210" s="1" t="s">
        <v>37</v>
      </c>
      <c r="K210" s="1" t="s">
        <v>38</v>
      </c>
      <c r="L210" s="1" t="s">
        <v>40</v>
      </c>
    </row>
    <row r="211" spans="1:12" x14ac:dyDescent="0.45">
      <c r="A211" s="1" t="s">
        <v>93</v>
      </c>
      <c r="B211" s="1" t="s">
        <v>15</v>
      </c>
      <c r="C211" s="1">
        <v>20</v>
      </c>
      <c r="D211" s="1" t="s">
        <v>35</v>
      </c>
      <c r="E211" s="1" t="s">
        <v>36</v>
      </c>
      <c r="F211" s="1" t="s">
        <v>8</v>
      </c>
      <c r="G211" s="1">
        <v>36.96</v>
      </c>
      <c r="H211" s="1" t="s">
        <v>37</v>
      </c>
      <c r="I211" s="1" t="s">
        <v>37</v>
      </c>
      <c r="J211" s="1" t="s">
        <v>37</v>
      </c>
      <c r="K211" s="1" t="s">
        <v>38</v>
      </c>
      <c r="L211" s="1" t="s">
        <v>40</v>
      </c>
    </row>
    <row r="212" spans="1:12" x14ac:dyDescent="0.45">
      <c r="A212" s="1" t="s">
        <v>105</v>
      </c>
      <c r="B212" s="1" t="s">
        <v>15</v>
      </c>
      <c r="C212" s="1">
        <v>20</v>
      </c>
      <c r="D212" s="1" t="s">
        <v>35</v>
      </c>
      <c r="E212" s="1" t="s">
        <v>36</v>
      </c>
      <c r="F212" s="1" t="s">
        <v>8</v>
      </c>
      <c r="G212" s="1">
        <v>37.369999999999997</v>
      </c>
      <c r="H212" s="1" t="s">
        <v>37</v>
      </c>
      <c r="I212" s="1" t="s">
        <v>37</v>
      </c>
      <c r="J212" s="1" t="s">
        <v>37</v>
      </c>
      <c r="K212" s="1" t="s">
        <v>38</v>
      </c>
      <c r="L212" s="1" t="s">
        <v>40</v>
      </c>
    </row>
    <row r="213" spans="1:12" x14ac:dyDescent="0.45">
      <c r="A213" s="1" t="s">
        <v>117</v>
      </c>
      <c r="B213" s="1" t="s">
        <v>15</v>
      </c>
      <c r="C213" s="1">
        <v>21</v>
      </c>
      <c r="D213" s="1" t="s">
        <v>35</v>
      </c>
      <c r="E213" s="1" t="s">
        <v>36</v>
      </c>
      <c r="F213" s="1" t="s">
        <v>8</v>
      </c>
      <c r="G213" s="1">
        <v>36.049999999999997</v>
      </c>
      <c r="H213" s="1" t="s">
        <v>37</v>
      </c>
      <c r="I213" s="1" t="s">
        <v>37</v>
      </c>
      <c r="J213" s="1" t="s">
        <v>37</v>
      </c>
      <c r="K213" s="1" t="s">
        <v>38</v>
      </c>
      <c r="L213" s="1" t="s">
        <v>40</v>
      </c>
    </row>
    <row r="214" spans="1:12" x14ac:dyDescent="0.45">
      <c r="A214" s="1" t="s">
        <v>129</v>
      </c>
      <c r="B214" s="1" t="s">
        <v>15</v>
      </c>
      <c r="C214" s="1">
        <v>21</v>
      </c>
      <c r="D214" s="1" t="s">
        <v>35</v>
      </c>
      <c r="E214" s="1" t="s">
        <v>36</v>
      </c>
      <c r="F214" s="1" t="s">
        <v>8</v>
      </c>
      <c r="G214" s="1">
        <v>38.71</v>
      </c>
      <c r="H214" s="1" t="s">
        <v>37</v>
      </c>
      <c r="I214" s="1" t="s">
        <v>37</v>
      </c>
      <c r="J214" s="1" t="s">
        <v>37</v>
      </c>
      <c r="K214" s="1" t="s">
        <v>38</v>
      </c>
      <c r="L214" s="1" t="s">
        <v>40</v>
      </c>
    </row>
    <row r="215" spans="1:12" x14ac:dyDescent="0.45">
      <c r="A215" s="1" t="s">
        <v>141</v>
      </c>
      <c r="B215" s="1" t="s">
        <v>15</v>
      </c>
      <c r="C215" s="1">
        <v>21</v>
      </c>
      <c r="D215" s="1" t="s">
        <v>35</v>
      </c>
      <c r="E215" s="1" t="s">
        <v>36</v>
      </c>
      <c r="F215" s="1" t="s">
        <v>8</v>
      </c>
      <c r="G215" s="1">
        <v>38.46</v>
      </c>
      <c r="H215" s="1" t="s">
        <v>37</v>
      </c>
      <c r="I215" s="1" t="s">
        <v>37</v>
      </c>
      <c r="J215" s="1" t="s">
        <v>37</v>
      </c>
      <c r="K215" s="1" t="s">
        <v>38</v>
      </c>
      <c r="L215" s="1" t="s">
        <v>40</v>
      </c>
    </row>
    <row r="216" spans="1:12" x14ac:dyDescent="0.45">
      <c r="A216" s="1" t="s">
        <v>58</v>
      </c>
      <c r="B216" s="1" t="s">
        <v>15</v>
      </c>
      <c r="C216" s="1">
        <v>22</v>
      </c>
      <c r="D216" s="1" t="s">
        <v>35</v>
      </c>
      <c r="E216" s="1" t="s">
        <v>36</v>
      </c>
      <c r="F216" s="1" t="s">
        <v>8</v>
      </c>
      <c r="G216" s="1" t="s">
        <v>9</v>
      </c>
      <c r="H216" s="1" t="s">
        <v>37</v>
      </c>
      <c r="I216" s="1" t="s">
        <v>37</v>
      </c>
      <c r="J216" s="1" t="s">
        <v>37</v>
      </c>
      <c r="K216" s="1" t="s">
        <v>38</v>
      </c>
      <c r="L216" s="1" t="s">
        <v>40</v>
      </c>
    </row>
    <row r="217" spans="1:12" x14ac:dyDescent="0.45">
      <c r="A217" s="1" t="s">
        <v>70</v>
      </c>
      <c r="B217" s="1" t="s">
        <v>15</v>
      </c>
      <c r="C217" s="1">
        <v>22</v>
      </c>
      <c r="D217" s="1" t="s">
        <v>35</v>
      </c>
      <c r="E217" s="1" t="s">
        <v>36</v>
      </c>
      <c r="F217" s="1" t="s">
        <v>8</v>
      </c>
      <c r="G217" s="1" t="s">
        <v>9</v>
      </c>
      <c r="H217" s="1" t="s">
        <v>37</v>
      </c>
      <c r="I217" s="1" t="s">
        <v>37</v>
      </c>
      <c r="J217" s="1" t="s">
        <v>37</v>
      </c>
      <c r="K217" s="1" t="s">
        <v>38</v>
      </c>
      <c r="L217" s="1" t="s">
        <v>40</v>
      </c>
    </row>
    <row r="218" spans="1:12" x14ac:dyDescent="0.45">
      <c r="A218" s="1" t="s">
        <v>82</v>
      </c>
      <c r="B218" s="1" t="s">
        <v>15</v>
      </c>
      <c r="C218" s="1">
        <v>22</v>
      </c>
      <c r="D218" s="1" t="s">
        <v>35</v>
      </c>
      <c r="E218" s="1" t="s">
        <v>36</v>
      </c>
      <c r="F218" s="1" t="s">
        <v>8</v>
      </c>
      <c r="G218" s="1">
        <v>37.74</v>
      </c>
      <c r="H218" s="1" t="s">
        <v>37</v>
      </c>
      <c r="I218" s="1" t="s">
        <v>37</v>
      </c>
      <c r="J218" s="1" t="s">
        <v>37</v>
      </c>
      <c r="K218" s="1" t="s">
        <v>38</v>
      </c>
      <c r="L218" s="1" t="s">
        <v>40</v>
      </c>
    </row>
    <row r="219" spans="1:12" x14ac:dyDescent="0.45">
      <c r="A219" s="1" t="s">
        <v>94</v>
      </c>
      <c r="B219" s="1" t="s">
        <v>15</v>
      </c>
      <c r="C219" s="1">
        <v>23</v>
      </c>
      <c r="D219" s="1" t="s">
        <v>35</v>
      </c>
      <c r="E219" s="1" t="s">
        <v>36</v>
      </c>
      <c r="F219" s="1" t="s">
        <v>8</v>
      </c>
      <c r="G219" s="1" t="s">
        <v>9</v>
      </c>
      <c r="H219" s="1" t="s">
        <v>37</v>
      </c>
      <c r="I219" s="1" t="s">
        <v>37</v>
      </c>
      <c r="J219" s="1" t="s">
        <v>37</v>
      </c>
      <c r="K219" s="1" t="s">
        <v>38</v>
      </c>
      <c r="L219" s="1" t="s">
        <v>40</v>
      </c>
    </row>
    <row r="220" spans="1:12" x14ac:dyDescent="0.45">
      <c r="A220" s="1" t="s">
        <v>106</v>
      </c>
      <c r="B220" s="1" t="s">
        <v>15</v>
      </c>
      <c r="C220" s="1">
        <v>23</v>
      </c>
      <c r="D220" s="1" t="s">
        <v>35</v>
      </c>
      <c r="E220" s="1" t="s">
        <v>36</v>
      </c>
      <c r="F220" s="1" t="s">
        <v>8</v>
      </c>
      <c r="G220" s="1" t="s">
        <v>9</v>
      </c>
      <c r="H220" s="1" t="s">
        <v>37</v>
      </c>
      <c r="I220" s="1" t="s">
        <v>37</v>
      </c>
      <c r="J220" s="1" t="s">
        <v>37</v>
      </c>
      <c r="K220" s="1" t="s">
        <v>38</v>
      </c>
      <c r="L220" s="1" t="s">
        <v>40</v>
      </c>
    </row>
    <row r="221" spans="1:12" x14ac:dyDescent="0.45">
      <c r="A221" s="1" t="s">
        <v>118</v>
      </c>
      <c r="B221" s="1" t="s">
        <v>15</v>
      </c>
      <c r="C221" s="1">
        <v>23</v>
      </c>
      <c r="D221" s="1" t="s">
        <v>35</v>
      </c>
      <c r="E221" s="1" t="s">
        <v>36</v>
      </c>
      <c r="F221" s="1" t="s">
        <v>8</v>
      </c>
      <c r="G221" s="1" t="s">
        <v>9</v>
      </c>
      <c r="H221" s="1" t="s">
        <v>37</v>
      </c>
      <c r="I221" s="1" t="s">
        <v>37</v>
      </c>
      <c r="J221" s="1" t="s">
        <v>37</v>
      </c>
      <c r="K221" s="1" t="s">
        <v>38</v>
      </c>
      <c r="L221" s="1" t="s">
        <v>40</v>
      </c>
    </row>
    <row r="222" spans="1:12" x14ac:dyDescent="0.45">
      <c r="A222" s="1" t="s">
        <v>59</v>
      </c>
      <c r="B222" s="1" t="s">
        <v>15</v>
      </c>
      <c r="C222" s="1">
        <v>24</v>
      </c>
      <c r="D222" s="1" t="s">
        <v>35</v>
      </c>
      <c r="E222" s="1" t="s">
        <v>36</v>
      </c>
      <c r="F222" s="1" t="s">
        <v>8</v>
      </c>
      <c r="G222" s="1">
        <v>36.9</v>
      </c>
      <c r="H222" s="1" t="s">
        <v>37</v>
      </c>
      <c r="I222" s="1" t="s">
        <v>37</v>
      </c>
      <c r="J222" s="1" t="s">
        <v>37</v>
      </c>
      <c r="K222" s="1" t="s">
        <v>38</v>
      </c>
      <c r="L222" s="1" t="s">
        <v>40</v>
      </c>
    </row>
    <row r="223" spans="1:12" x14ac:dyDescent="0.45">
      <c r="A223" s="1" t="s">
        <v>130</v>
      </c>
      <c r="B223" s="1" t="s">
        <v>15</v>
      </c>
      <c r="C223" s="1">
        <v>24</v>
      </c>
      <c r="D223" s="1" t="s">
        <v>35</v>
      </c>
      <c r="E223" s="1" t="s">
        <v>36</v>
      </c>
      <c r="F223" s="1" t="s">
        <v>8</v>
      </c>
      <c r="G223" s="1">
        <v>37.299999999999997</v>
      </c>
      <c r="H223" s="1" t="s">
        <v>37</v>
      </c>
      <c r="I223" s="1" t="s">
        <v>37</v>
      </c>
      <c r="J223" s="1" t="s">
        <v>37</v>
      </c>
      <c r="K223" s="1" t="s">
        <v>38</v>
      </c>
      <c r="L223" s="1" t="s">
        <v>40</v>
      </c>
    </row>
    <row r="224" spans="1:12" x14ac:dyDescent="0.45">
      <c r="A224" s="1" t="s">
        <v>142</v>
      </c>
      <c r="B224" s="1" t="s">
        <v>15</v>
      </c>
      <c r="C224" s="1">
        <v>24</v>
      </c>
      <c r="D224" s="1" t="s">
        <v>35</v>
      </c>
      <c r="E224" s="1" t="s">
        <v>36</v>
      </c>
      <c r="F224" s="1" t="s">
        <v>8</v>
      </c>
      <c r="G224" s="1" t="s">
        <v>9</v>
      </c>
      <c r="H224" s="1" t="s">
        <v>37</v>
      </c>
      <c r="I224" s="1" t="s">
        <v>37</v>
      </c>
      <c r="J224" s="1" t="s">
        <v>37</v>
      </c>
      <c r="K224" s="1" t="s">
        <v>38</v>
      </c>
      <c r="L224" s="1" t="s">
        <v>40</v>
      </c>
    </row>
    <row r="225" spans="1:12" x14ac:dyDescent="0.45">
      <c r="A225" s="1" t="s">
        <v>71</v>
      </c>
      <c r="B225" s="1" t="s">
        <v>15</v>
      </c>
      <c r="C225" s="1">
        <v>25</v>
      </c>
      <c r="D225" s="1" t="s">
        <v>35</v>
      </c>
      <c r="E225" s="1" t="s">
        <v>36</v>
      </c>
      <c r="F225" s="1" t="s">
        <v>8</v>
      </c>
      <c r="G225" s="1">
        <v>36.39</v>
      </c>
      <c r="H225" s="1" t="s">
        <v>37</v>
      </c>
      <c r="I225" s="1" t="s">
        <v>37</v>
      </c>
      <c r="J225" s="1" t="s">
        <v>37</v>
      </c>
      <c r="K225" s="1" t="s">
        <v>38</v>
      </c>
      <c r="L225" s="1" t="s">
        <v>40</v>
      </c>
    </row>
    <row r="226" spans="1:12" x14ac:dyDescent="0.45">
      <c r="A226" s="1" t="s">
        <v>83</v>
      </c>
      <c r="B226" s="1" t="s">
        <v>15</v>
      </c>
      <c r="C226" s="1">
        <v>25</v>
      </c>
      <c r="D226" s="1" t="s">
        <v>35</v>
      </c>
      <c r="E226" s="1" t="s">
        <v>36</v>
      </c>
      <c r="F226" s="1" t="s">
        <v>8</v>
      </c>
      <c r="G226" s="1">
        <v>36.44</v>
      </c>
      <c r="H226" s="1" t="s">
        <v>37</v>
      </c>
      <c r="I226" s="1" t="s">
        <v>37</v>
      </c>
      <c r="J226" s="1" t="s">
        <v>37</v>
      </c>
      <c r="K226" s="1" t="s">
        <v>38</v>
      </c>
      <c r="L226" s="1" t="s">
        <v>40</v>
      </c>
    </row>
    <row r="227" spans="1:12" x14ac:dyDescent="0.45">
      <c r="A227" s="1" t="s">
        <v>95</v>
      </c>
      <c r="B227" s="1" t="s">
        <v>15</v>
      </c>
      <c r="C227" s="1">
        <v>25</v>
      </c>
      <c r="D227" s="1" t="s">
        <v>35</v>
      </c>
      <c r="E227" s="1" t="s">
        <v>36</v>
      </c>
      <c r="F227" s="1" t="s">
        <v>8</v>
      </c>
      <c r="G227" s="1">
        <v>37.89</v>
      </c>
      <c r="H227" s="1" t="s">
        <v>37</v>
      </c>
      <c r="I227" s="1" t="s">
        <v>37</v>
      </c>
      <c r="J227" s="1" t="s">
        <v>37</v>
      </c>
      <c r="K227" s="1" t="s">
        <v>38</v>
      </c>
      <c r="L227" s="1" t="s">
        <v>40</v>
      </c>
    </row>
    <row r="228" spans="1:12" x14ac:dyDescent="0.45">
      <c r="A228" s="1" t="s">
        <v>107</v>
      </c>
      <c r="B228" s="1" t="s">
        <v>15</v>
      </c>
      <c r="C228" s="1">
        <v>26</v>
      </c>
      <c r="D228" s="1" t="s">
        <v>35</v>
      </c>
      <c r="E228" s="1" t="s">
        <v>36</v>
      </c>
      <c r="F228" s="1" t="s">
        <v>8</v>
      </c>
      <c r="G228" s="1" t="s">
        <v>9</v>
      </c>
      <c r="H228" s="1" t="s">
        <v>37</v>
      </c>
      <c r="I228" s="1" t="s">
        <v>37</v>
      </c>
      <c r="J228" s="1" t="s">
        <v>37</v>
      </c>
      <c r="K228" s="1" t="s">
        <v>38</v>
      </c>
      <c r="L228" s="1" t="s">
        <v>40</v>
      </c>
    </row>
    <row r="229" spans="1:12" x14ac:dyDescent="0.45">
      <c r="A229" s="1" t="s">
        <v>119</v>
      </c>
      <c r="B229" s="1" t="s">
        <v>15</v>
      </c>
      <c r="C229" s="1">
        <v>26</v>
      </c>
      <c r="D229" s="1" t="s">
        <v>35</v>
      </c>
      <c r="E229" s="1" t="s">
        <v>36</v>
      </c>
      <c r="F229" s="1" t="s">
        <v>8</v>
      </c>
      <c r="G229" s="1">
        <v>37.68</v>
      </c>
      <c r="H229" s="1" t="s">
        <v>37</v>
      </c>
      <c r="I229" s="1" t="s">
        <v>37</v>
      </c>
      <c r="J229" s="1" t="s">
        <v>37</v>
      </c>
      <c r="K229" s="1" t="s">
        <v>38</v>
      </c>
      <c r="L229" s="1" t="s">
        <v>40</v>
      </c>
    </row>
    <row r="230" spans="1:12" x14ac:dyDescent="0.45">
      <c r="A230" s="1" t="s">
        <v>131</v>
      </c>
      <c r="B230" s="1" t="s">
        <v>15</v>
      </c>
      <c r="C230" s="1">
        <v>26</v>
      </c>
      <c r="D230" s="1" t="s">
        <v>35</v>
      </c>
      <c r="E230" s="1" t="s">
        <v>36</v>
      </c>
      <c r="F230" s="1" t="s">
        <v>8</v>
      </c>
      <c r="G230" s="1">
        <v>38.67</v>
      </c>
      <c r="H230" s="1" t="s">
        <v>37</v>
      </c>
      <c r="I230" s="1" t="s">
        <v>37</v>
      </c>
      <c r="J230" s="1" t="s">
        <v>37</v>
      </c>
      <c r="K230" s="1" t="s">
        <v>38</v>
      </c>
      <c r="L230" s="1" t="s">
        <v>40</v>
      </c>
    </row>
    <row r="231" spans="1:12" x14ac:dyDescent="0.45">
      <c r="A231" s="1" t="s">
        <v>60</v>
      </c>
      <c r="B231" s="1" t="s">
        <v>15</v>
      </c>
      <c r="C231" s="1">
        <v>27</v>
      </c>
      <c r="D231" s="1" t="s">
        <v>35</v>
      </c>
      <c r="E231" s="1" t="s">
        <v>36</v>
      </c>
      <c r="F231" s="1" t="s">
        <v>8</v>
      </c>
      <c r="G231" s="1" t="s">
        <v>9</v>
      </c>
      <c r="H231" s="1" t="s">
        <v>37</v>
      </c>
      <c r="I231" s="1" t="s">
        <v>37</v>
      </c>
      <c r="J231" s="1" t="s">
        <v>37</v>
      </c>
      <c r="K231" s="1" t="s">
        <v>38</v>
      </c>
      <c r="L231" s="1" t="s">
        <v>40</v>
      </c>
    </row>
    <row r="232" spans="1:12" x14ac:dyDescent="0.45">
      <c r="A232" s="1" t="s">
        <v>72</v>
      </c>
      <c r="B232" s="1" t="s">
        <v>15</v>
      </c>
      <c r="C232" s="1">
        <v>27</v>
      </c>
      <c r="D232" s="1" t="s">
        <v>35</v>
      </c>
      <c r="E232" s="1" t="s">
        <v>36</v>
      </c>
      <c r="F232" s="1" t="s">
        <v>8</v>
      </c>
      <c r="G232" s="1" t="s">
        <v>9</v>
      </c>
      <c r="H232" s="1" t="s">
        <v>37</v>
      </c>
      <c r="I232" s="1" t="s">
        <v>37</v>
      </c>
      <c r="J232" s="1" t="s">
        <v>37</v>
      </c>
      <c r="K232" s="1" t="s">
        <v>38</v>
      </c>
      <c r="L232" s="1" t="s">
        <v>40</v>
      </c>
    </row>
    <row r="233" spans="1:12" x14ac:dyDescent="0.45">
      <c r="A233" s="1" t="s">
        <v>143</v>
      </c>
      <c r="B233" s="1" t="s">
        <v>15</v>
      </c>
      <c r="C233" s="1">
        <v>27</v>
      </c>
      <c r="D233" s="1" t="s">
        <v>35</v>
      </c>
      <c r="E233" s="1" t="s">
        <v>36</v>
      </c>
      <c r="F233" s="1" t="s">
        <v>8</v>
      </c>
      <c r="G233" s="1">
        <v>39.44</v>
      </c>
      <c r="H233" s="1" t="s">
        <v>37</v>
      </c>
      <c r="I233" s="1" t="s">
        <v>37</v>
      </c>
      <c r="J233" s="1" t="s">
        <v>37</v>
      </c>
      <c r="K233" s="1" t="s">
        <v>38</v>
      </c>
      <c r="L233" s="1" t="s">
        <v>40</v>
      </c>
    </row>
    <row r="234" spans="1:12" x14ac:dyDescent="0.45">
      <c r="A234" s="1" t="s">
        <v>84</v>
      </c>
      <c r="B234" s="1" t="s">
        <v>15</v>
      </c>
      <c r="C234" s="1">
        <v>28</v>
      </c>
      <c r="D234" s="1" t="s">
        <v>35</v>
      </c>
      <c r="E234" s="1" t="s">
        <v>36</v>
      </c>
      <c r="F234" s="1" t="s">
        <v>8</v>
      </c>
      <c r="G234" s="1" t="s">
        <v>9</v>
      </c>
      <c r="H234" s="1" t="s">
        <v>37</v>
      </c>
      <c r="I234" s="1" t="s">
        <v>37</v>
      </c>
      <c r="J234" s="1" t="s">
        <v>37</v>
      </c>
      <c r="K234" s="1" t="s">
        <v>38</v>
      </c>
      <c r="L234" s="1" t="s">
        <v>40</v>
      </c>
    </row>
    <row r="235" spans="1:12" x14ac:dyDescent="0.45">
      <c r="A235" s="1" t="s">
        <v>96</v>
      </c>
      <c r="B235" s="1" t="s">
        <v>15</v>
      </c>
      <c r="C235" s="1">
        <v>28</v>
      </c>
      <c r="D235" s="1" t="s">
        <v>35</v>
      </c>
      <c r="E235" s="1" t="s">
        <v>36</v>
      </c>
      <c r="F235" s="1" t="s">
        <v>8</v>
      </c>
      <c r="G235" s="1" t="s">
        <v>9</v>
      </c>
      <c r="H235" s="1" t="s">
        <v>37</v>
      </c>
      <c r="I235" s="1" t="s">
        <v>37</v>
      </c>
      <c r="J235" s="1" t="s">
        <v>37</v>
      </c>
      <c r="K235" s="1" t="s">
        <v>38</v>
      </c>
      <c r="L235" s="1" t="s">
        <v>40</v>
      </c>
    </row>
    <row r="236" spans="1:12" x14ac:dyDescent="0.45">
      <c r="A236" s="1" t="s">
        <v>108</v>
      </c>
      <c r="B236" s="1" t="s">
        <v>15</v>
      </c>
      <c r="C236" s="1">
        <v>28</v>
      </c>
      <c r="D236" s="1" t="s">
        <v>35</v>
      </c>
      <c r="E236" s="1" t="s">
        <v>36</v>
      </c>
      <c r="F236" s="1" t="s">
        <v>8</v>
      </c>
      <c r="G236" s="1" t="s">
        <v>9</v>
      </c>
      <c r="H236" s="1" t="s">
        <v>37</v>
      </c>
      <c r="I236" s="1" t="s">
        <v>37</v>
      </c>
      <c r="J236" s="1" t="s">
        <v>37</v>
      </c>
      <c r="K236" s="1" t="s">
        <v>38</v>
      </c>
      <c r="L236" s="1" t="s">
        <v>40</v>
      </c>
    </row>
    <row r="237" spans="1:12" x14ac:dyDescent="0.45">
      <c r="A237" s="1" t="s">
        <v>120</v>
      </c>
      <c r="B237" s="1" t="s">
        <v>15</v>
      </c>
      <c r="C237" s="1">
        <v>29</v>
      </c>
      <c r="D237" s="1" t="s">
        <v>35</v>
      </c>
      <c r="E237" s="1" t="s">
        <v>36</v>
      </c>
      <c r="F237" s="1" t="s">
        <v>8</v>
      </c>
      <c r="G237" s="1" t="s">
        <v>9</v>
      </c>
      <c r="H237" s="1" t="s">
        <v>37</v>
      </c>
      <c r="I237" s="1" t="s">
        <v>37</v>
      </c>
      <c r="J237" s="1" t="s">
        <v>37</v>
      </c>
      <c r="K237" s="1" t="s">
        <v>38</v>
      </c>
      <c r="L237" s="1" t="s">
        <v>40</v>
      </c>
    </row>
    <row r="238" spans="1:12" x14ac:dyDescent="0.45">
      <c r="A238" s="1" t="s">
        <v>132</v>
      </c>
      <c r="B238" s="1" t="s">
        <v>15</v>
      </c>
      <c r="C238" s="1">
        <v>29</v>
      </c>
      <c r="D238" s="1" t="s">
        <v>35</v>
      </c>
      <c r="E238" s="1" t="s">
        <v>36</v>
      </c>
      <c r="F238" s="1" t="s">
        <v>8</v>
      </c>
      <c r="G238" s="1" t="s">
        <v>9</v>
      </c>
      <c r="H238" s="1" t="s">
        <v>37</v>
      </c>
      <c r="I238" s="1" t="s">
        <v>37</v>
      </c>
      <c r="J238" s="1" t="s">
        <v>37</v>
      </c>
      <c r="K238" s="1" t="s">
        <v>38</v>
      </c>
      <c r="L238" s="1" t="s">
        <v>40</v>
      </c>
    </row>
    <row r="239" spans="1:12" x14ac:dyDescent="0.45">
      <c r="A239" s="1" t="s">
        <v>144</v>
      </c>
      <c r="B239" s="1" t="s">
        <v>15</v>
      </c>
      <c r="C239" s="1">
        <v>29</v>
      </c>
      <c r="D239" s="1" t="s">
        <v>35</v>
      </c>
      <c r="E239" s="1" t="s">
        <v>36</v>
      </c>
      <c r="F239" s="1" t="s">
        <v>8</v>
      </c>
      <c r="G239" s="1" t="s">
        <v>9</v>
      </c>
      <c r="H239" s="1" t="s">
        <v>37</v>
      </c>
      <c r="I239" s="1" t="s">
        <v>37</v>
      </c>
      <c r="J239" s="1" t="s">
        <v>37</v>
      </c>
      <c r="K239" s="1" t="s">
        <v>38</v>
      </c>
      <c r="L239" s="1" t="s">
        <v>40</v>
      </c>
    </row>
    <row r="240" spans="1:12" x14ac:dyDescent="0.45">
      <c r="A240" s="1" t="s">
        <v>49</v>
      </c>
      <c r="B240" s="1" t="s">
        <v>7</v>
      </c>
      <c r="C240" s="1" t="s">
        <v>7</v>
      </c>
      <c r="D240" s="1" t="s">
        <v>35</v>
      </c>
      <c r="E240" s="1" t="s">
        <v>36</v>
      </c>
      <c r="F240" s="1" t="s">
        <v>8</v>
      </c>
      <c r="G240" s="1" t="s">
        <v>9</v>
      </c>
      <c r="H240" s="1" t="s">
        <v>37</v>
      </c>
      <c r="I240" s="1" t="s">
        <v>37</v>
      </c>
      <c r="J240" s="1" t="s">
        <v>37</v>
      </c>
      <c r="K240" s="1" t="s">
        <v>38</v>
      </c>
      <c r="L240" s="1" t="s">
        <v>40</v>
      </c>
    </row>
    <row r="241" spans="1:14" x14ac:dyDescent="0.45">
      <c r="A241" s="1" t="s">
        <v>61</v>
      </c>
      <c r="B241" s="1" t="s">
        <v>7</v>
      </c>
      <c r="C241" s="1" t="s">
        <v>7</v>
      </c>
      <c r="D241" s="1" t="s">
        <v>35</v>
      </c>
      <c r="E241" s="1" t="s">
        <v>36</v>
      </c>
      <c r="F241" s="1" t="s">
        <v>8</v>
      </c>
      <c r="G241" s="1" t="s">
        <v>9</v>
      </c>
      <c r="H241" s="1" t="s">
        <v>37</v>
      </c>
      <c r="I241" s="1" t="s">
        <v>37</v>
      </c>
      <c r="J241" s="1" t="s">
        <v>37</v>
      </c>
      <c r="K241" s="1" t="s">
        <v>38</v>
      </c>
      <c r="L241" s="1" t="s">
        <v>40</v>
      </c>
    </row>
    <row r="242" spans="1:14" x14ac:dyDescent="0.45">
      <c r="A242" s="1" t="s">
        <v>73</v>
      </c>
      <c r="B242" s="1" t="s">
        <v>7</v>
      </c>
      <c r="C242" s="1" t="s">
        <v>7</v>
      </c>
      <c r="D242" s="1" t="s">
        <v>35</v>
      </c>
      <c r="E242" s="1" t="s">
        <v>36</v>
      </c>
      <c r="F242" s="1" t="s">
        <v>8</v>
      </c>
      <c r="G242" s="1" t="s">
        <v>9</v>
      </c>
      <c r="H242" s="1" t="s">
        <v>37</v>
      </c>
      <c r="I242" s="1" t="s">
        <v>37</v>
      </c>
      <c r="J242" s="1" t="s">
        <v>37</v>
      </c>
      <c r="K242" s="1" t="s">
        <v>38</v>
      </c>
      <c r="L242" s="1" t="s">
        <v>40</v>
      </c>
    </row>
    <row r="243" spans="1:14" x14ac:dyDescent="0.45">
      <c r="A243" s="1" t="s">
        <v>85</v>
      </c>
      <c r="B243" s="1" t="s">
        <v>11</v>
      </c>
      <c r="C243" s="1" t="s">
        <v>43</v>
      </c>
      <c r="D243" s="1" t="s">
        <v>35</v>
      </c>
      <c r="E243" s="1" t="s">
        <v>36</v>
      </c>
      <c r="F243" s="1" t="s">
        <v>8</v>
      </c>
      <c r="G243" s="1">
        <v>32.96</v>
      </c>
      <c r="H243" s="1" t="s">
        <v>42</v>
      </c>
      <c r="I243" s="1" t="s">
        <v>37</v>
      </c>
      <c r="J243" s="1" t="s">
        <v>37</v>
      </c>
      <c r="K243" s="1" t="s">
        <v>38</v>
      </c>
      <c r="L243" s="1" t="s">
        <v>40</v>
      </c>
    </row>
    <row r="244" spans="1:14" x14ac:dyDescent="0.45">
      <c r="A244" s="1" t="s">
        <v>97</v>
      </c>
      <c r="B244" s="1" t="s">
        <v>11</v>
      </c>
      <c r="C244" s="1" t="s">
        <v>43</v>
      </c>
      <c r="D244" s="1" t="s">
        <v>35</v>
      </c>
      <c r="E244" s="1" t="s">
        <v>36</v>
      </c>
      <c r="F244" s="1" t="s">
        <v>8</v>
      </c>
      <c r="G244" s="1">
        <v>33.299999999999997</v>
      </c>
      <c r="H244" s="1" t="s">
        <v>42</v>
      </c>
      <c r="I244" s="1" t="s">
        <v>37</v>
      </c>
      <c r="J244" s="1" t="s">
        <v>37</v>
      </c>
      <c r="K244" s="1" t="s">
        <v>38</v>
      </c>
      <c r="L244" s="1" t="s">
        <v>40</v>
      </c>
    </row>
    <row r="245" spans="1:14" x14ac:dyDescent="0.45">
      <c r="A245" s="1" t="s">
        <v>109</v>
      </c>
      <c r="B245" s="1" t="s">
        <v>11</v>
      </c>
      <c r="C245" s="1" t="s">
        <v>43</v>
      </c>
      <c r="D245" s="1" t="s">
        <v>35</v>
      </c>
      <c r="E245" s="1" t="s">
        <v>36</v>
      </c>
      <c r="F245" s="1" t="s">
        <v>8</v>
      </c>
      <c r="G245" s="1">
        <v>33.090000000000003</v>
      </c>
      <c r="H245" s="1" t="s">
        <v>42</v>
      </c>
      <c r="I245" s="1" t="s">
        <v>37</v>
      </c>
      <c r="J245" s="1" t="s">
        <v>37</v>
      </c>
      <c r="K245" s="1" t="s">
        <v>38</v>
      </c>
      <c r="L245" s="1" t="s">
        <v>40</v>
      </c>
    </row>
    <row r="246" spans="1:14" x14ac:dyDescent="0.45">
      <c r="A246" s="1" t="s">
        <v>50</v>
      </c>
      <c r="B246" s="1" t="s">
        <v>11</v>
      </c>
      <c r="C246" s="1" t="s">
        <v>41</v>
      </c>
      <c r="D246" s="1" t="s">
        <v>35</v>
      </c>
      <c r="E246" s="1" t="s">
        <v>36</v>
      </c>
      <c r="F246" s="1" t="s">
        <v>8</v>
      </c>
      <c r="G246" s="1">
        <v>12.05</v>
      </c>
      <c r="H246" s="1" t="s">
        <v>42</v>
      </c>
      <c r="I246" s="1" t="s">
        <v>37</v>
      </c>
      <c r="J246" s="1" t="s">
        <v>37</v>
      </c>
      <c r="K246" s="1" t="s">
        <v>38</v>
      </c>
      <c r="L246" s="1" t="s">
        <v>40</v>
      </c>
    </row>
    <row r="247" spans="1:14" x14ac:dyDescent="0.45">
      <c r="A247" s="1" t="s">
        <v>121</v>
      </c>
      <c r="B247" s="1" t="s">
        <v>11</v>
      </c>
      <c r="C247" s="1" t="s">
        <v>41</v>
      </c>
      <c r="D247" s="1" t="s">
        <v>35</v>
      </c>
      <c r="E247" s="1" t="s">
        <v>36</v>
      </c>
      <c r="F247" s="1" t="s">
        <v>8</v>
      </c>
      <c r="G247" s="1">
        <v>12.57</v>
      </c>
      <c r="H247" s="1" t="s">
        <v>42</v>
      </c>
      <c r="I247" s="1" t="s">
        <v>37</v>
      </c>
      <c r="J247" s="1" t="s">
        <v>37</v>
      </c>
      <c r="K247" s="1" t="s">
        <v>38</v>
      </c>
      <c r="L247" s="1" t="s">
        <v>40</v>
      </c>
    </row>
    <row r="248" spans="1:14" x14ac:dyDescent="0.45">
      <c r="A248" s="1" t="s">
        <v>133</v>
      </c>
      <c r="B248" s="1" t="s">
        <v>11</v>
      </c>
      <c r="C248" s="1" t="s">
        <v>41</v>
      </c>
      <c r="D248" s="1" t="s">
        <v>35</v>
      </c>
      <c r="E248" s="1" t="s">
        <v>36</v>
      </c>
      <c r="F248" s="1" t="s">
        <v>8</v>
      </c>
      <c r="G248" s="1">
        <v>12.4</v>
      </c>
      <c r="H248" s="1" t="s">
        <v>42</v>
      </c>
      <c r="I248" s="1" t="s">
        <v>37</v>
      </c>
      <c r="J248" s="1" t="s">
        <v>37</v>
      </c>
      <c r="K248" s="1" t="s">
        <v>38</v>
      </c>
      <c r="L248" s="1" t="s">
        <v>40</v>
      </c>
    </row>
    <row r="250" spans="1:14" x14ac:dyDescent="0.45">
      <c r="A250" t="s">
        <v>145</v>
      </c>
      <c r="B250" t="s">
        <v>146</v>
      </c>
      <c r="C250" s="2">
        <v>45763</v>
      </c>
    </row>
    <row r="251" spans="1:14" x14ac:dyDescent="0.45">
      <c r="A251" s="1" t="s">
        <v>48</v>
      </c>
      <c r="B251" s="1" t="s">
        <v>0</v>
      </c>
      <c r="C251" s="1" t="s">
        <v>1</v>
      </c>
      <c r="D251" s="1" t="s">
        <v>25</v>
      </c>
      <c r="E251" s="1" t="s">
        <v>26</v>
      </c>
      <c r="F251" s="1" t="s">
        <v>27</v>
      </c>
      <c r="G251" s="1" t="s">
        <v>2</v>
      </c>
      <c r="H251" s="1" t="s">
        <v>29</v>
      </c>
      <c r="I251" s="1" t="s">
        <v>30</v>
      </c>
      <c r="J251" s="1" t="s">
        <v>31</v>
      </c>
      <c r="K251" s="1" t="s">
        <v>32</v>
      </c>
      <c r="L251" s="1" t="s">
        <v>33</v>
      </c>
      <c r="M251" s="1" t="s">
        <v>34</v>
      </c>
      <c r="N251" s="1"/>
    </row>
    <row r="252" spans="1:14" x14ac:dyDescent="0.45">
      <c r="A252" s="1" t="s">
        <v>62</v>
      </c>
      <c r="B252" s="1" t="s">
        <v>15</v>
      </c>
      <c r="C252" s="1">
        <v>1</v>
      </c>
      <c r="D252" s="1" t="s">
        <v>35</v>
      </c>
      <c r="E252" s="1" t="s">
        <v>36</v>
      </c>
      <c r="F252" s="1" t="s">
        <v>8</v>
      </c>
      <c r="G252" s="1" t="s">
        <v>9</v>
      </c>
      <c r="H252" s="1" t="s">
        <v>37</v>
      </c>
      <c r="I252" s="1" t="s">
        <v>37</v>
      </c>
      <c r="J252" s="1" t="s">
        <v>37</v>
      </c>
      <c r="K252" s="1" t="s">
        <v>38</v>
      </c>
      <c r="L252" s="1" t="s">
        <v>39</v>
      </c>
      <c r="M252" s="1" t="s">
        <v>40</v>
      </c>
      <c r="N252" s="1"/>
    </row>
    <row r="253" spans="1:14" x14ac:dyDescent="0.45">
      <c r="A253" s="1" t="s">
        <v>74</v>
      </c>
      <c r="B253" s="1" t="s">
        <v>15</v>
      </c>
      <c r="C253" s="1">
        <v>1</v>
      </c>
      <c r="D253" s="1" t="s">
        <v>35</v>
      </c>
      <c r="E253" s="1" t="s">
        <v>36</v>
      </c>
      <c r="F253" s="1" t="s">
        <v>8</v>
      </c>
      <c r="G253" s="1" t="s">
        <v>9</v>
      </c>
      <c r="H253" s="1" t="s">
        <v>37</v>
      </c>
      <c r="I253" s="1" t="s">
        <v>37</v>
      </c>
      <c r="J253" s="1" t="s">
        <v>37</v>
      </c>
      <c r="K253" s="1" t="s">
        <v>38</v>
      </c>
      <c r="L253" s="1" t="s">
        <v>39</v>
      </c>
      <c r="M253" s="1" t="s">
        <v>40</v>
      </c>
      <c r="N253" s="1"/>
    </row>
    <row r="254" spans="1:14" x14ac:dyDescent="0.45">
      <c r="A254" s="1" t="s">
        <v>86</v>
      </c>
      <c r="B254" s="1" t="s">
        <v>15</v>
      </c>
      <c r="C254" s="1">
        <v>1</v>
      </c>
      <c r="D254" s="1" t="s">
        <v>35</v>
      </c>
      <c r="E254" s="1" t="s">
        <v>36</v>
      </c>
      <c r="F254" s="1" t="s">
        <v>8</v>
      </c>
      <c r="G254" s="1" t="s">
        <v>9</v>
      </c>
      <c r="H254" s="1" t="s">
        <v>37</v>
      </c>
      <c r="I254" s="1" t="s">
        <v>37</v>
      </c>
      <c r="J254" s="1" t="s">
        <v>37</v>
      </c>
      <c r="K254" s="1" t="s">
        <v>38</v>
      </c>
      <c r="L254" s="1" t="s">
        <v>39</v>
      </c>
      <c r="M254" s="1" t="s">
        <v>40</v>
      </c>
      <c r="N254" s="1"/>
    </row>
    <row r="255" spans="1:14" x14ac:dyDescent="0.45">
      <c r="A255" s="1" t="s">
        <v>98</v>
      </c>
      <c r="B255" s="1" t="s">
        <v>15</v>
      </c>
      <c r="C255" s="1">
        <v>2</v>
      </c>
      <c r="D255" s="1" t="s">
        <v>35</v>
      </c>
      <c r="E255" s="1" t="s">
        <v>36</v>
      </c>
      <c r="F255" s="1" t="s">
        <v>8</v>
      </c>
      <c r="G255" s="1" t="s">
        <v>9</v>
      </c>
      <c r="H255" s="1" t="s">
        <v>37</v>
      </c>
      <c r="I255" s="1" t="s">
        <v>37</v>
      </c>
      <c r="J255" s="1" t="s">
        <v>37</v>
      </c>
      <c r="K255" s="1" t="s">
        <v>38</v>
      </c>
      <c r="L255" s="1" t="s">
        <v>39</v>
      </c>
      <c r="M255" s="1" t="s">
        <v>40</v>
      </c>
      <c r="N255" s="1"/>
    </row>
    <row r="256" spans="1:14" x14ac:dyDescent="0.45">
      <c r="A256" s="1" t="s">
        <v>110</v>
      </c>
      <c r="B256" s="1" t="s">
        <v>15</v>
      </c>
      <c r="C256" s="1">
        <v>2</v>
      </c>
      <c r="D256" s="1" t="s">
        <v>35</v>
      </c>
      <c r="E256" s="1" t="s">
        <v>36</v>
      </c>
      <c r="F256" s="1" t="s">
        <v>8</v>
      </c>
      <c r="G256" s="1" t="s">
        <v>9</v>
      </c>
      <c r="H256" s="1" t="s">
        <v>37</v>
      </c>
      <c r="I256" s="1" t="s">
        <v>37</v>
      </c>
      <c r="J256" s="1" t="s">
        <v>37</v>
      </c>
      <c r="K256" s="1" t="s">
        <v>38</v>
      </c>
      <c r="L256" s="1" t="s">
        <v>39</v>
      </c>
      <c r="M256" s="1" t="s">
        <v>40</v>
      </c>
      <c r="N256" s="1"/>
    </row>
    <row r="257" spans="1:14" x14ac:dyDescent="0.45">
      <c r="A257" s="1" t="s">
        <v>122</v>
      </c>
      <c r="B257" s="1" t="s">
        <v>15</v>
      </c>
      <c r="C257" s="1">
        <v>2</v>
      </c>
      <c r="D257" s="1" t="s">
        <v>35</v>
      </c>
      <c r="E257" s="1" t="s">
        <v>36</v>
      </c>
      <c r="F257" s="1" t="s">
        <v>8</v>
      </c>
      <c r="G257" s="1" t="s">
        <v>9</v>
      </c>
      <c r="H257" s="1" t="s">
        <v>37</v>
      </c>
      <c r="I257" s="1" t="s">
        <v>37</v>
      </c>
      <c r="J257" s="1" t="s">
        <v>37</v>
      </c>
      <c r="K257" s="1" t="s">
        <v>38</v>
      </c>
      <c r="L257" s="1" t="s">
        <v>39</v>
      </c>
      <c r="M257" s="1" t="s">
        <v>40</v>
      </c>
      <c r="N257" s="1"/>
    </row>
    <row r="258" spans="1:14" x14ac:dyDescent="0.45">
      <c r="A258" s="1" t="s">
        <v>51</v>
      </c>
      <c r="B258" s="1" t="s">
        <v>15</v>
      </c>
      <c r="C258" s="1">
        <v>3</v>
      </c>
      <c r="D258" s="1" t="s">
        <v>35</v>
      </c>
      <c r="E258" s="1" t="s">
        <v>36</v>
      </c>
      <c r="F258" s="1" t="s">
        <v>8</v>
      </c>
      <c r="G258" s="1" t="s">
        <v>9</v>
      </c>
      <c r="H258" s="1" t="s">
        <v>37</v>
      </c>
      <c r="I258" s="1" t="s">
        <v>37</v>
      </c>
      <c r="J258" s="1" t="s">
        <v>37</v>
      </c>
      <c r="K258" s="1" t="s">
        <v>38</v>
      </c>
      <c r="L258" s="1" t="s">
        <v>39</v>
      </c>
      <c r="M258" s="1" t="s">
        <v>40</v>
      </c>
      <c r="N258" s="1"/>
    </row>
    <row r="259" spans="1:14" x14ac:dyDescent="0.45">
      <c r="A259" s="1" t="s">
        <v>63</v>
      </c>
      <c r="B259" s="1" t="s">
        <v>15</v>
      </c>
      <c r="C259" s="1">
        <v>3</v>
      </c>
      <c r="D259" s="1" t="s">
        <v>35</v>
      </c>
      <c r="E259" s="1" t="s">
        <v>36</v>
      </c>
      <c r="F259" s="1" t="s">
        <v>8</v>
      </c>
      <c r="G259" s="1" t="s">
        <v>9</v>
      </c>
      <c r="H259" s="1" t="s">
        <v>37</v>
      </c>
      <c r="I259" s="1" t="s">
        <v>37</v>
      </c>
      <c r="J259" s="1" t="s">
        <v>37</v>
      </c>
      <c r="K259" s="1" t="s">
        <v>38</v>
      </c>
      <c r="L259" s="1" t="s">
        <v>39</v>
      </c>
      <c r="M259" s="1" t="s">
        <v>40</v>
      </c>
      <c r="N259" s="1"/>
    </row>
    <row r="260" spans="1:14" x14ac:dyDescent="0.45">
      <c r="A260" s="1" t="s">
        <v>134</v>
      </c>
      <c r="B260" s="1" t="s">
        <v>15</v>
      </c>
      <c r="C260" s="1">
        <v>3</v>
      </c>
      <c r="D260" s="1" t="s">
        <v>35</v>
      </c>
      <c r="E260" s="1" t="s">
        <v>36</v>
      </c>
      <c r="F260" s="1" t="s">
        <v>8</v>
      </c>
      <c r="G260" s="1" t="s">
        <v>9</v>
      </c>
      <c r="H260" s="1" t="s">
        <v>37</v>
      </c>
      <c r="I260" s="1" t="s">
        <v>37</v>
      </c>
      <c r="J260" s="1" t="s">
        <v>37</v>
      </c>
      <c r="K260" s="1" t="s">
        <v>38</v>
      </c>
      <c r="L260" s="1" t="s">
        <v>39</v>
      </c>
      <c r="M260" s="1" t="s">
        <v>40</v>
      </c>
      <c r="N260" s="1"/>
    </row>
    <row r="261" spans="1:14" x14ac:dyDescent="0.45">
      <c r="A261" s="1" t="s">
        <v>75</v>
      </c>
      <c r="B261" s="1" t="s">
        <v>15</v>
      </c>
      <c r="C261" s="1">
        <v>4</v>
      </c>
      <c r="D261" s="1" t="s">
        <v>35</v>
      </c>
      <c r="E261" s="1" t="s">
        <v>36</v>
      </c>
      <c r="F261" s="1" t="s">
        <v>8</v>
      </c>
      <c r="G261" s="1" t="s">
        <v>9</v>
      </c>
      <c r="H261" s="1" t="s">
        <v>37</v>
      </c>
      <c r="I261" s="1" t="s">
        <v>37</v>
      </c>
      <c r="J261" s="1" t="s">
        <v>37</v>
      </c>
      <c r="K261" s="1" t="s">
        <v>38</v>
      </c>
      <c r="L261" s="1" t="s">
        <v>39</v>
      </c>
      <c r="M261" s="1" t="s">
        <v>40</v>
      </c>
      <c r="N261" s="1"/>
    </row>
    <row r="262" spans="1:14" x14ac:dyDescent="0.45">
      <c r="A262" s="1" t="s">
        <v>87</v>
      </c>
      <c r="B262" s="1" t="s">
        <v>15</v>
      </c>
      <c r="C262" s="1">
        <v>4</v>
      </c>
      <c r="D262" s="1" t="s">
        <v>35</v>
      </c>
      <c r="E262" s="1" t="s">
        <v>36</v>
      </c>
      <c r="F262" s="1" t="s">
        <v>8</v>
      </c>
      <c r="G262" s="1" t="s">
        <v>9</v>
      </c>
      <c r="H262" s="1" t="s">
        <v>37</v>
      </c>
      <c r="I262" s="1" t="s">
        <v>37</v>
      </c>
      <c r="J262" s="1" t="s">
        <v>37</v>
      </c>
      <c r="K262" s="1" t="s">
        <v>38</v>
      </c>
      <c r="L262" s="1" t="s">
        <v>39</v>
      </c>
      <c r="M262" s="1" t="s">
        <v>40</v>
      </c>
      <c r="N262" s="1"/>
    </row>
    <row r="263" spans="1:14" x14ac:dyDescent="0.45">
      <c r="A263" s="1" t="s">
        <v>99</v>
      </c>
      <c r="B263" s="1" t="s">
        <v>15</v>
      </c>
      <c r="C263" s="1">
        <v>4</v>
      </c>
      <c r="D263" s="1" t="s">
        <v>35</v>
      </c>
      <c r="E263" s="1" t="s">
        <v>36</v>
      </c>
      <c r="F263" s="1" t="s">
        <v>8</v>
      </c>
      <c r="G263" s="1">
        <v>37.57</v>
      </c>
      <c r="H263" s="1" t="s">
        <v>37</v>
      </c>
      <c r="I263" s="1" t="s">
        <v>37</v>
      </c>
      <c r="J263" s="1" t="s">
        <v>37</v>
      </c>
      <c r="K263" s="1" t="s">
        <v>38</v>
      </c>
      <c r="L263" s="1">
        <v>37.567215815653498</v>
      </c>
      <c r="M263" s="1" t="s">
        <v>40</v>
      </c>
      <c r="N263" s="1"/>
    </row>
    <row r="264" spans="1:14" x14ac:dyDescent="0.45">
      <c r="A264" s="1" t="s">
        <v>111</v>
      </c>
      <c r="B264" s="1" t="s">
        <v>15</v>
      </c>
      <c r="C264" s="1">
        <v>5</v>
      </c>
      <c r="D264" s="1" t="s">
        <v>35</v>
      </c>
      <c r="E264" s="1" t="s">
        <v>36</v>
      </c>
      <c r="F264" s="1" t="s">
        <v>8</v>
      </c>
      <c r="G264" s="1" t="s">
        <v>9</v>
      </c>
      <c r="H264" s="1" t="s">
        <v>37</v>
      </c>
      <c r="I264" s="1" t="s">
        <v>37</v>
      </c>
      <c r="J264" s="1" t="s">
        <v>37</v>
      </c>
      <c r="K264" s="1" t="s">
        <v>38</v>
      </c>
      <c r="L264" s="1" t="s">
        <v>39</v>
      </c>
      <c r="M264" s="1" t="s">
        <v>40</v>
      </c>
      <c r="N264" s="1"/>
    </row>
    <row r="265" spans="1:14" x14ac:dyDescent="0.45">
      <c r="A265" s="1" t="s">
        <v>123</v>
      </c>
      <c r="B265" s="1" t="s">
        <v>15</v>
      </c>
      <c r="C265" s="1">
        <v>5</v>
      </c>
      <c r="D265" s="1" t="s">
        <v>35</v>
      </c>
      <c r="E265" s="1" t="s">
        <v>36</v>
      </c>
      <c r="F265" s="1" t="s">
        <v>8</v>
      </c>
      <c r="G265" s="1" t="s">
        <v>9</v>
      </c>
      <c r="H265" s="1" t="s">
        <v>37</v>
      </c>
      <c r="I265" s="1" t="s">
        <v>37</v>
      </c>
      <c r="J265" s="1" t="s">
        <v>37</v>
      </c>
      <c r="K265" s="1" t="s">
        <v>38</v>
      </c>
      <c r="L265" s="1" t="s">
        <v>39</v>
      </c>
      <c r="M265" s="1" t="s">
        <v>40</v>
      </c>
      <c r="N265" s="1"/>
    </row>
    <row r="266" spans="1:14" x14ac:dyDescent="0.45">
      <c r="A266" s="1" t="s">
        <v>135</v>
      </c>
      <c r="B266" s="1" t="s">
        <v>15</v>
      </c>
      <c r="C266" s="1">
        <v>5</v>
      </c>
      <c r="D266" s="1" t="s">
        <v>35</v>
      </c>
      <c r="E266" s="1" t="s">
        <v>36</v>
      </c>
      <c r="F266" s="1" t="s">
        <v>8</v>
      </c>
      <c r="G266" s="1">
        <v>37.909999999999997</v>
      </c>
      <c r="H266" s="1" t="s">
        <v>37</v>
      </c>
      <c r="I266" s="1" t="s">
        <v>37</v>
      </c>
      <c r="J266" s="1" t="s">
        <v>37</v>
      </c>
      <c r="K266" s="1" t="s">
        <v>38</v>
      </c>
      <c r="L266" s="1">
        <v>37.9068331500727</v>
      </c>
      <c r="M266" s="1" t="s">
        <v>40</v>
      </c>
      <c r="N266" s="1"/>
    </row>
    <row r="267" spans="1:14" x14ac:dyDescent="0.45">
      <c r="A267" s="1" t="s">
        <v>52</v>
      </c>
      <c r="B267" s="1" t="s">
        <v>15</v>
      </c>
      <c r="C267" s="1">
        <v>6</v>
      </c>
      <c r="D267" s="1" t="s">
        <v>35</v>
      </c>
      <c r="E267" s="1" t="s">
        <v>36</v>
      </c>
      <c r="F267" s="1" t="s">
        <v>8</v>
      </c>
      <c r="G267" s="1">
        <v>37.119999999999997</v>
      </c>
      <c r="H267" s="1" t="s">
        <v>37</v>
      </c>
      <c r="I267" s="1" t="s">
        <v>37</v>
      </c>
      <c r="J267" s="1" t="s">
        <v>37</v>
      </c>
      <c r="K267" s="1" t="s">
        <v>38</v>
      </c>
      <c r="L267" s="1">
        <v>37.123615099739503</v>
      </c>
      <c r="M267" s="1" t="s">
        <v>40</v>
      </c>
      <c r="N267" s="1"/>
    </row>
    <row r="268" spans="1:14" x14ac:dyDescent="0.45">
      <c r="A268" s="1" t="s">
        <v>64</v>
      </c>
      <c r="B268" s="1" t="s">
        <v>15</v>
      </c>
      <c r="C268" s="1">
        <v>6</v>
      </c>
      <c r="D268" s="1" t="s">
        <v>35</v>
      </c>
      <c r="E268" s="1" t="s">
        <v>36</v>
      </c>
      <c r="F268" s="1" t="s">
        <v>8</v>
      </c>
      <c r="G268" s="1">
        <v>37.49</v>
      </c>
      <c r="H268" s="1" t="s">
        <v>37</v>
      </c>
      <c r="I268" s="1" t="s">
        <v>37</v>
      </c>
      <c r="J268" s="1" t="s">
        <v>37</v>
      </c>
      <c r="K268" s="1" t="s">
        <v>38</v>
      </c>
      <c r="L268" s="1">
        <v>37.4927970975939</v>
      </c>
      <c r="M268" s="1" t="s">
        <v>40</v>
      </c>
      <c r="N268" s="1"/>
    </row>
    <row r="269" spans="1:14" x14ac:dyDescent="0.45">
      <c r="A269" s="1" t="s">
        <v>76</v>
      </c>
      <c r="B269" s="1" t="s">
        <v>15</v>
      </c>
      <c r="C269" s="1">
        <v>6</v>
      </c>
      <c r="D269" s="1" t="s">
        <v>35</v>
      </c>
      <c r="E269" s="1" t="s">
        <v>36</v>
      </c>
      <c r="F269" s="1" t="s">
        <v>8</v>
      </c>
      <c r="G269" s="1">
        <v>36.28</v>
      </c>
      <c r="H269" s="1" t="s">
        <v>37</v>
      </c>
      <c r="I269" s="1" t="s">
        <v>37</v>
      </c>
      <c r="J269" s="1" t="s">
        <v>37</v>
      </c>
      <c r="K269" s="1" t="s">
        <v>38</v>
      </c>
      <c r="L269" s="1">
        <v>36.278031838558199</v>
      </c>
      <c r="M269" s="1" t="s">
        <v>40</v>
      </c>
      <c r="N269" s="1"/>
    </row>
    <row r="270" spans="1:14" x14ac:dyDescent="0.45">
      <c r="A270" s="1" t="s">
        <v>88</v>
      </c>
      <c r="B270" s="1" t="s">
        <v>15</v>
      </c>
      <c r="C270" s="1">
        <v>7</v>
      </c>
      <c r="D270" s="1" t="s">
        <v>35</v>
      </c>
      <c r="E270" s="1" t="s">
        <v>36</v>
      </c>
      <c r="F270" s="1" t="s">
        <v>8</v>
      </c>
      <c r="G270" s="1">
        <v>37.340000000000003</v>
      </c>
      <c r="H270" s="1" t="s">
        <v>37</v>
      </c>
      <c r="I270" s="1" t="s">
        <v>37</v>
      </c>
      <c r="J270" s="1" t="s">
        <v>37</v>
      </c>
      <c r="K270" s="1" t="s">
        <v>38</v>
      </c>
      <c r="L270" s="1">
        <v>37.338186437218702</v>
      </c>
      <c r="M270" s="1" t="s">
        <v>40</v>
      </c>
      <c r="N270" s="1"/>
    </row>
    <row r="271" spans="1:14" x14ac:dyDescent="0.45">
      <c r="A271" s="1" t="s">
        <v>100</v>
      </c>
      <c r="B271" s="1" t="s">
        <v>15</v>
      </c>
      <c r="C271" s="1">
        <v>7</v>
      </c>
      <c r="D271" s="1" t="s">
        <v>35</v>
      </c>
      <c r="E271" s="1" t="s">
        <v>36</v>
      </c>
      <c r="F271" s="1" t="s">
        <v>8</v>
      </c>
      <c r="G271" s="1">
        <v>37.35</v>
      </c>
      <c r="H271" s="1" t="s">
        <v>37</v>
      </c>
      <c r="I271" s="1" t="s">
        <v>37</v>
      </c>
      <c r="J271" s="1" t="s">
        <v>37</v>
      </c>
      <c r="K271" s="1" t="s">
        <v>38</v>
      </c>
      <c r="L271" s="1">
        <v>37.345291441645102</v>
      </c>
      <c r="M271" s="1" t="s">
        <v>40</v>
      </c>
      <c r="N271" s="1"/>
    </row>
    <row r="272" spans="1:14" x14ac:dyDescent="0.45">
      <c r="A272" s="1" t="s">
        <v>112</v>
      </c>
      <c r="B272" s="1" t="s">
        <v>15</v>
      </c>
      <c r="C272" s="1">
        <v>7</v>
      </c>
      <c r="D272" s="1" t="s">
        <v>35</v>
      </c>
      <c r="E272" s="1" t="s">
        <v>36</v>
      </c>
      <c r="F272" s="1" t="s">
        <v>8</v>
      </c>
      <c r="G272" s="1">
        <v>38.39</v>
      </c>
      <c r="H272" s="1" t="s">
        <v>37</v>
      </c>
      <c r="I272" s="1" t="s">
        <v>37</v>
      </c>
      <c r="J272" s="1" t="s">
        <v>37</v>
      </c>
      <c r="K272" s="1" t="s">
        <v>38</v>
      </c>
      <c r="L272" s="1">
        <v>38.391174092550401</v>
      </c>
      <c r="M272" s="1" t="s">
        <v>40</v>
      </c>
      <c r="N272" s="1"/>
    </row>
    <row r="273" spans="1:14" x14ac:dyDescent="0.45">
      <c r="A273" s="1" t="s">
        <v>53</v>
      </c>
      <c r="B273" s="1" t="s">
        <v>15</v>
      </c>
      <c r="C273" s="1">
        <v>8</v>
      </c>
      <c r="D273" s="1" t="s">
        <v>35</v>
      </c>
      <c r="E273" s="1" t="s">
        <v>36</v>
      </c>
      <c r="F273" s="1" t="s">
        <v>8</v>
      </c>
      <c r="G273" s="1">
        <v>37.630000000000003</v>
      </c>
      <c r="H273" s="1" t="s">
        <v>37</v>
      </c>
      <c r="I273" s="1" t="s">
        <v>37</v>
      </c>
      <c r="J273" s="1" t="s">
        <v>37</v>
      </c>
      <c r="K273" s="1" t="s">
        <v>38</v>
      </c>
      <c r="L273" s="1">
        <v>37.628275599973698</v>
      </c>
      <c r="M273" s="1" t="s">
        <v>40</v>
      </c>
      <c r="N273" s="1"/>
    </row>
    <row r="274" spans="1:14" x14ac:dyDescent="0.45">
      <c r="A274" s="1" t="s">
        <v>124</v>
      </c>
      <c r="B274" s="1" t="s">
        <v>15</v>
      </c>
      <c r="C274" s="1">
        <v>8</v>
      </c>
      <c r="D274" s="1" t="s">
        <v>35</v>
      </c>
      <c r="E274" s="1" t="s">
        <v>36</v>
      </c>
      <c r="F274" s="1" t="s">
        <v>8</v>
      </c>
      <c r="G274" s="1">
        <v>37.39</v>
      </c>
      <c r="H274" s="1" t="s">
        <v>37</v>
      </c>
      <c r="I274" s="1" t="s">
        <v>37</v>
      </c>
      <c r="J274" s="1" t="s">
        <v>37</v>
      </c>
      <c r="K274" s="1" t="s">
        <v>38</v>
      </c>
      <c r="L274" s="1">
        <v>37.394803256274599</v>
      </c>
      <c r="M274" s="1" t="s">
        <v>40</v>
      </c>
      <c r="N274" s="1"/>
    </row>
    <row r="275" spans="1:14" x14ac:dyDescent="0.45">
      <c r="A275" s="1" t="s">
        <v>136</v>
      </c>
      <c r="B275" s="1" t="s">
        <v>15</v>
      </c>
      <c r="C275" s="1">
        <v>8</v>
      </c>
      <c r="D275" s="1" t="s">
        <v>35</v>
      </c>
      <c r="E275" s="1" t="s">
        <v>36</v>
      </c>
      <c r="F275" s="1" t="s">
        <v>8</v>
      </c>
      <c r="G275" s="1" t="s">
        <v>9</v>
      </c>
      <c r="H275" s="1" t="s">
        <v>37</v>
      </c>
      <c r="I275" s="1" t="s">
        <v>37</v>
      </c>
      <c r="J275" s="1" t="s">
        <v>37</v>
      </c>
      <c r="K275" s="1" t="s">
        <v>38</v>
      </c>
      <c r="L275" s="1" t="s">
        <v>39</v>
      </c>
      <c r="M275" s="1" t="s">
        <v>40</v>
      </c>
      <c r="N275" s="1"/>
    </row>
    <row r="276" spans="1:14" x14ac:dyDescent="0.45">
      <c r="A276" s="1" t="s">
        <v>65</v>
      </c>
      <c r="B276" s="1" t="s">
        <v>15</v>
      </c>
      <c r="C276" s="1">
        <v>9</v>
      </c>
      <c r="D276" s="1" t="s">
        <v>35</v>
      </c>
      <c r="E276" s="1" t="s">
        <v>36</v>
      </c>
      <c r="F276" s="1" t="s">
        <v>8</v>
      </c>
      <c r="G276" s="1">
        <v>37.229999999999997</v>
      </c>
      <c r="H276" s="1" t="s">
        <v>37</v>
      </c>
      <c r="I276" s="1" t="s">
        <v>37</v>
      </c>
      <c r="J276" s="1" t="s">
        <v>37</v>
      </c>
      <c r="K276" s="1" t="s">
        <v>38</v>
      </c>
      <c r="L276" s="1">
        <v>37.233492431753803</v>
      </c>
      <c r="M276" s="1" t="s">
        <v>40</v>
      </c>
      <c r="N276" s="1"/>
    </row>
    <row r="277" spans="1:14" x14ac:dyDescent="0.45">
      <c r="A277" s="1" t="s">
        <v>77</v>
      </c>
      <c r="B277" s="1" t="s">
        <v>15</v>
      </c>
      <c r="C277" s="1">
        <v>9</v>
      </c>
      <c r="D277" s="1" t="s">
        <v>35</v>
      </c>
      <c r="E277" s="1" t="s">
        <v>36</v>
      </c>
      <c r="F277" s="1" t="s">
        <v>8</v>
      </c>
      <c r="G277" s="1">
        <v>36.770000000000003</v>
      </c>
      <c r="H277" s="1" t="s">
        <v>37</v>
      </c>
      <c r="I277" s="1" t="s">
        <v>37</v>
      </c>
      <c r="J277" s="1" t="s">
        <v>37</v>
      </c>
      <c r="K277" s="1" t="s">
        <v>38</v>
      </c>
      <c r="L277" s="1">
        <v>36.768705157074599</v>
      </c>
      <c r="M277" s="1" t="s">
        <v>40</v>
      </c>
      <c r="N277" s="1"/>
    </row>
    <row r="278" spans="1:14" x14ac:dyDescent="0.45">
      <c r="A278" s="1" t="s">
        <v>89</v>
      </c>
      <c r="B278" s="1" t="s">
        <v>15</v>
      </c>
      <c r="C278" s="1">
        <v>9</v>
      </c>
      <c r="D278" s="1" t="s">
        <v>35</v>
      </c>
      <c r="E278" s="1" t="s">
        <v>36</v>
      </c>
      <c r="F278" s="1" t="s">
        <v>8</v>
      </c>
      <c r="G278" s="1">
        <v>37.21</v>
      </c>
      <c r="H278" s="1" t="s">
        <v>37</v>
      </c>
      <c r="I278" s="1" t="s">
        <v>37</v>
      </c>
      <c r="J278" s="1" t="s">
        <v>37</v>
      </c>
      <c r="K278" s="1" t="s">
        <v>38</v>
      </c>
      <c r="L278" s="1">
        <v>37.210606299099403</v>
      </c>
      <c r="M278" s="1" t="s">
        <v>40</v>
      </c>
      <c r="N278" s="1"/>
    </row>
    <row r="279" spans="1:14" x14ac:dyDescent="0.45">
      <c r="A279" s="1" t="s">
        <v>101</v>
      </c>
      <c r="B279" s="1" t="s">
        <v>15</v>
      </c>
      <c r="C279" s="1">
        <v>10</v>
      </c>
      <c r="D279" s="1" t="s">
        <v>35</v>
      </c>
      <c r="E279" s="1" t="s">
        <v>36</v>
      </c>
      <c r="F279" s="1" t="s">
        <v>8</v>
      </c>
      <c r="G279" s="1" t="s">
        <v>9</v>
      </c>
      <c r="H279" s="1" t="s">
        <v>37</v>
      </c>
      <c r="I279" s="1" t="s">
        <v>37</v>
      </c>
      <c r="J279" s="1" t="s">
        <v>37</v>
      </c>
      <c r="K279" s="1" t="s">
        <v>38</v>
      </c>
      <c r="L279" s="1" t="s">
        <v>39</v>
      </c>
      <c r="M279" s="1" t="s">
        <v>40</v>
      </c>
      <c r="N279" s="1"/>
    </row>
    <row r="280" spans="1:14" x14ac:dyDescent="0.45">
      <c r="A280" s="1" t="s">
        <v>113</v>
      </c>
      <c r="B280" s="1" t="s">
        <v>15</v>
      </c>
      <c r="C280" s="1">
        <v>10</v>
      </c>
      <c r="D280" s="1" t="s">
        <v>35</v>
      </c>
      <c r="E280" s="1" t="s">
        <v>36</v>
      </c>
      <c r="F280" s="1" t="s">
        <v>8</v>
      </c>
      <c r="G280" s="1" t="s">
        <v>9</v>
      </c>
      <c r="H280" s="1" t="s">
        <v>37</v>
      </c>
      <c r="I280" s="1" t="s">
        <v>37</v>
      </c>
      <c r="J280" s="1" t="s">
        <v>37</v>
      </c>
      <c r="K280" s="1" t="s">
        <v>38</v>
      </c>
      <c r="L280" s="1" t="s">
        <v>39</v>
      </c>
      <c r="M280" s="1" t="s">
        <v>40</v>
      </c>
      <c r="N280" s="1"/>
    </row>
    <row r="281" spans="1:14" x14ac:dyDescent="0.45">
      <c r="A281" s="1" t="s">
        <v>125</v>
      </c>
      <c r="B281" s="1" t="s">
        <v>15</v>
      </c>
      <c r="C281" s="1">
        <v>10</v>
      </c>
      <c r="D281" s="1" t="s">
        <v>35</v>
      </c>
      <c r="E281" s="1" t="s">
        <v>36</v>
      </c>
      <c r="F281" s="1" t="s">
        <v>8</v>
      </c>
      <c r="G281" s="1">
        <v>37.659999999999997</v>
      </c>
      <c r="H281" s="1" t="s">
        <v>37</v>
      </c>
      <c r="I281" s="1" t="s">
        <v>37</v>
      </c>
      <c r="J281" s="1" t="s">
        <v>37</v>
      </c>
      <c r="K281" s="1" t="s">
        <v>38</v>
      </c>
      <c r="L281" s="1">
        <v>37.663732471879797</v>
      </c>
      <c r="M281" s="1" t="s">
        <v>40</v>
      </c>
      <c r="N281" s="1"/>
    </row>
    <row r="282" spans="1:14" x14ac:dyDescent="0.45">
      <c r="A282" s="1" t="s">
        <v>54</v>
      </c>
      <c r="B282" s="1" t="s">
        <v>15</v>
      </c>
      <c r="C282" s="1">
        <v>11</v>
      </c>
      <c r="D282" s="1" t="s">
        <v>35</v>
      </c>
      <c r="E282" s="1" t="s">
        <v>36</v>
      </c>
      <c r="F282" s="1" t="s">
        <v>8</v>
      </c>
      <c r="G282" s="1" t="s">
        <v>9</v>
      </c>
      <c r="H282" s="1" t="s">
        <v>37</v>
      </c>
      <c r="I282" s="1" t="s">
        <v>37</v>
      </c>
      <c r="J282" s="1" t="s">
        <v>37</v>
      </c>
      <c r="K282" s="1" t="s">
        <v>38</v>
      </c>
      <c r="L282" s="1" t="s">
        <v>39</v>
      </c>
      <c r="M282" s="1" t="s">
        <v>40</v>
      </c>
      <c r="N282" s="1"/>
    </row>
    <row r="283" spans="1:14" x14ac:dyDescent="0.45">
      <c r="A283" s="1" t="s">
        <v>66</v>
      </c>
      <c r="B283" s="1" t="s">
        <v>15</v>
      </c>
      <c r="C283" s="1">
        <v>11</v>
      </c>
      <c r="D283" s="1" t="s">
        <v>35</v>
      </c>
      <c r="E283" s="1" t="s">
        <v>36</v>
      </c>
      <c r="F283" s="1" t="s">
        <v>8</v>
      </c>
      <c r="G283" s="1" t="s">
        <v>9</v>
      </c>
      <c r="H283" s="1" t="s">
        <v>37</v>
      </c>
      <c r="I283" s="1" t="s">
        <v>37</v>
      </c>
      <c r="J283" s="1" t="s">
        <v>37</v>
      </c>
      <c r="K283" s="1" t="s">
        <v>38</v>
      </c>
      <c r="L283" s="1" t="s">
        <v>39</v>
      </c>
      <c r="M283" s="1" t="s">
        <v>40</v>
      </c>
      <c r="N283" s="1"/>
    </row>
    <row r="284" spans="1:14" x14ac:dyDescent="0.45">
      <c r="A284" s="1" t="s">
        <v>137</v>
      </c>
      <c r="B284" s="1" t="s">
        <v>15</v>
      </c>
      <c r="C284" s="1">
        <v>11</v>
      </c>
      <c r="D284" s="1" t="s">
        <v>35</v>
      </c>
      <c r="E284" s="1" t="s">
        <v>36</v>
      </c>
      <c r="F284" s="1" t="s">
        <v>8</v>
      </c>
      <c r="G284" s="1">
        <v>38.72</v>
      </c>
      <c r="H284" s="1" t="s">
        <v>37</v>
      </c>
      <c r="I284" s="1" t="s">
        <v>37</v>
      </c>
      <c r="J284" s="1" t="s">
        <v>37</v>
      </c>
      <c r="K284" s="1" t="s">
        <v>38</v>
      </c>
      <c r="L284" s="1">
        <v>38.717972310093302</v>
      </c>
      <c r="M284" s="1" t="s">
        <v>40</v>
      </c>
      <c r="N284" s="1"/>
    </row>
    <row r="285" spans="1:14" x14ac:dyDescent="0.45">
      <c r="A285" s="1" t="s">
        <v>78</v>
      </c>
      <c r="B285" s="1" t="s">
        <v>15</v>
      </c>
      <c r="C285" s="1">
        <v>12</v>
      </c>
      <c r="D285" s="1" t="s">
        <v>35</v>
      </c>
      <c r="E285" s="1" t="s">
        <v>36</v>
      </c>
      <c r="F285" s="1" t="s">
        <v>8</v>
      </c>
      <c r="G285" s="1">
        <v>37.380000000000003</v>
      </c>
      <c r="H285" s="1" t="s">
        <v>37</v>
      </c>
      <c r="I285" s="1" t="s">
        <v>37</v>
      </c>
      <c r="J285" s="1" t="s">
        <v>37</v>
      </c>
      <c r="K285" s="1" t="s">
        <v>38</v>
      </c>
      <c r="L285" s="1">
        <v>37.383202689459303</v>
      </c>
      <c r="M285" s="1" t="s">
        <v>40</v>
      </c>
      <c r="N285" s="1"/>
    </row>
    <row r="286" spans="1:14" x14ac:dyDescent="0.45">
      <c r="A286" s="1" t="s">
        <v>90</v>
      </c>
      <c r="B286" s="1" t="s">
        <v>15</v>
      </c>
      <c r="C286" s="1">
        <v>12</v>
      </c>
      <c r="D286" s="1" t="s">
        <v>35</v>
      </c>
      <c r="E286" s="1" t="s">
        <v>36</v>
      </c>
      <c r="F286" s="1" t="s">
        <v>8</v>
      </c>
      <c r="G286" s="1">
        <v>37.79</v>
      </c>
      <c r="H286" s="1" t="s">
        <v>37</v>
      </c>
      <c r="I286" s="1" t="s">
        <v>37</v>
      </c>
      <c r="J286" s="1" t="s">
        <v>37</v>
      </c>
      <c r="K286" s="1" t="s">
        <v>38</v>
      </c>
      <c r="L286" s="1">
        <v>37.791198441160901</v>
      </c>
      <c r="M286" s="1" t="s">
        <v>40</v>
      </c>
      <c r="N286" s="1"/>
    </row>
    <row r="287" spans="1:14" x14ac:dyDescent="0.45">
      <c r="A287" s="1" t="s">
        <v>102</v>
      </c>
      <c r="B287" s="1" t="s">
        <v>15</v>
      </c>
      <c r="C287" s="1">
        <v>12</v>
      </c>
      <c r="D287" s="1" t="s">
        <v>35</v>
      </c>
      <c r="E287" s="1" t="s">
        <v>36</v>
      </c>
      <c r="F287" s="1" t="s">
        <v>8</v>
      </c>
      <c r="G287" s="1" t="s">
        <v>9</v>
      </c>
      <c r="H287" s="1" t="s">
        <v>37</v>
      </c>
      <c r="I287" s="1" t="s">
        <v>37</v>
      </c>
      <c r="J287" s="1" t="s">
        <v>37</v>
      </c>
      <c r="K287" s="1" t="s">
        <v>38</v>
      </c>
      <c r="L287" s="1" t="s">
        <v>39</v>
      </c>
      <c r="M287" s="1" t="s">
        <v>40</v>
      </c>
      <c r="N287" s="1"/>
    </row>
    <row r="288" spans="1:14" x14ac:dyDescent="0.45">
      <c r="A288" s="1" t="s">
        <v>114</v>
      </c>
      <c r="B288" s="1" t="s">
        <v>15</v>
      </c>
      <c r="C288" s="1">
        <v>13</v>
      </c>
      <c r="D288" s="1" t="s">
        <v>35</v>
      </c>
      <c r="E288" s="1" t="s">
        <v>36</v>
      </c>
      <c r="F288" s="1" t="s">
        <v>8</v>
      </c>
      <c r="G288" s="1" t="s">
        <v>9</v>
      </c>
      <c r="H288" s="1" t="s">
        <v>37</v>
      </c>
      <c r="I288" s="1" t="s">
        <v>37</v>
      </c>
      <c r="J288" s="1" t="s">
        <v>37</v>
      </c>
      <c r="K288" s="1" t="s">
        <v>38</v>
      </c>
      <c r="L288" s="1" t="s">
        <v>39</v>
      </c>
      <c r="M288" s="1" t="s">
        <v>40</v>
      </c>
      <c r="N288" s="1"/>
    </row>
    <row r="289" spans="1:14" x14ac:dyDescent="0.45">
      <c r="A289" s="1" t="s">
        <v>126</v>
      </c>
      <c r="B289" s="1" t="s">
        <v>15</v>
      </c>
      <c r="C289" s="1">
        <v>13</v>
      </c>
      <c r="D289" s="1" t="s">
        <v>35</v>
      </c>
      <c r="E289" s="1" t="s">
        <v>36</v>
      </c>
      <c r="F289" s="1" t="s">
        <v>8</v>
      </c>
      <c r="G289" s="1" t="s">
        <v>9</v>
      </c>
      <c r="H289" s="1" t="s">
        <v>37</v>
      </c>
      <c r="I289" s="1" t="s">
        <v>37</v>
      </c>
      <c r="J289" s="1" t="s">
        <v>37</v>
      </c>
      <c r="K289" s="1" t="s">
        <v>38</v>
      </c>
      <c r="L289" s="1" t="s">
        <v>39</v>
      </c>
      <c r="M289" s="1" t="s">
        <v>40</v>
      </c>
      <c r="N289" s="1"/>
    </row>
    <row r="290" spans="1:14" x14ac:dyDescent="0.45">
      <c r="A290" s="1" t="s">
        <v>138</v>
      </c>
      <c r="B290" s="1" t="s">
        <v>15</v>
      </c>
      <c r="C290" s="1">
        <v>13</v>
      </c>
      <c r="D290" s="1" t="s">
        <v>35</v>
      </c>
      <c r="E290" s="1" t="s">
        <v>36</v>
      </c>
      <c r="F290" s="1" t="s">
        <v>8</v>
      </c>
      <c r="G290" s="1">
        <v>38.76</v>
      </c>
      <c r="H290" s="1" t="s">
        <v>37</v>
      </c>
      <c r="I290" s="1" t="s">
        <v>37</v>
      </c>
      <c r="J290" s="1" t="s">
        <v>37</v>
      </c>
      <c r="K290" s="1" t="s">
        <v>38</v>
      </c>
      <c r="L290" s="1">
        <v>38.763406066382203</v>
      </c>
      <c r="M290" s="1" t="s">
        <v>40</v>
      </c>
      <c r="N290" s="1"/>
    </row>
    <row r="291" spans="1:14" x14ac:dyDescent="0.45">
      <c r="A291" s="1" t="s">
        <v>55</v>
      </c>
      <c r="B291" s="1" t="s">
        <v>15</v>
      </c>
      <c r="C291" s="1">
        <v>14</v>
      </c>
      <c r="D291" s="1" t="s">
        <v>35</v>
      </c>
      <c r="E291" s="1" t="s">
        <v>36</v>
      </c>
      <c r="F291" s="1" t="s">
        <v>8</v>
      </c>
      <c r="G291" s="1" t="s">
        <v>9</v>
      </c>
      <c r="H291" s="1" t="s">
        <v>37</v>
      </c>
      <c r="I291" s="1" t="s">
        <v>37</v>
      </c>
      <c r="J291" s="1" t="s">
        <v>37</v>
      </c>
      <c r="K291" s="1" t="s">
        <v>38</v>
      </c>
      <c r="L291" s="1" t="s">
        <v>39</v>
      </c>
      <c r="M291" s="1" t="s">
        <v>40</v>
      </c>
      <c r="N291" s="1"/>
    </row>
    <row r="292" spans="1:14" x14ac:dyDescent="0.45">
      <c r="A292" s="1" t="s">
        <v>67</v>
      </c>
      <c r="B292" s="1" t="s">
        <v>15</v>
      </c>
      <c r="C292" s="1">
        <v>14</v>
      </c>
      <c r="D292" s="1" t="s">
        <v>35</v>
      </c>
      <c r="E292" s="1" t="s">
        <v>36</v>
      </c>
      <c r="F292" s="1" t="s">
        <v>8</v>
      </c>
      <c r="G292" s="1">
        <v>37.76</v>
      </c>
      <c r="H292" s="1" t="s">
        <v>37</v>
      </c>
      <c r="I292" s="1" t="s">
        <v>37</v>
      </c>
      <c r="J292" s="1" t="s">
        <v>37</v>
      </c>
      <c r="K292" s="1" t="s">
        <v>38</v>
      </c>
      <c r="L292" s="1">
        <v>37.758329729995197</v>
      </c>
      <c r="M292" s="1" t="s">
        <v>40</v>
      </c>
      <c r="N292" s="1"/>
    </row>
    <row r="293" spans="1:14" x14ac:dyDescent="0.45">
      <c r="A293" s="1" t="s">
        <v>79</v>
      </c>
      <c r="B293" s="1" t="s">
        <v>15</v>
      </c>
      <c r="C293" s="1">
        <v>14</v>
      </c>
      <c r="D293" s="1" t="s">
        <v>35</v>
      </c>
      <c r="E293" s="1" t="s">
        <v>36</v>
      </c>
      <c r="F293" s="1" t="s">
        <v>8</v>
      </c>
      <c r="G293" s="1" t="s">
        <v>9</v>
      </c>
      <c r="H293" s="1" t="s">
        <v>37</v>
      </c>
      <c r="I293" s="1" t="s">
        <v>37</v>
      </c>
      <c r="J293" s="1" t="s">
        <v>37</v>
      </c>
      <c r="K293" s="1" t="s">
        <v>38</v>
      </c>
      <c r="L293" s="1" t="s">
        <v>39</v>
      </c>
      <c r="M293" s="1" t="s">
        <v>40</v>
      </c>
      <c r="N293" s="1"/>
    </row>
    <row r="294" spans="1:14" x14ac:dyDescent="0.45">
      <c r="A294" s="1" t="s">
        <v>91</v>
      </c>
      <c r="B294" s="1" t="s">
        <v>15</v>
      </c>
      <c r="C294" s="1">
        <v>15</v>
      </c>
      <c r="D294" s="1" t="s">
        <v>35</v>
      </c>
      <c r="E294" s="1" t="s">
        <v>36</v>
      </c>
      <c r="F294" s="1" t="s">
        <v>8</v>
      </c>
      <c r="G294" s="1" t="s">
        <v>9</v>
      </c>
      <c r="H294" s="1" t="s">
        <v>37</v>
      </c>
      <c r="I294" s="1" t="s">
        <v>37</v>
      </c>
      <c r="J294" s="1" t="s">
        <v>37</v>
      </c>
      <c r="K294" s="1" t="s">
        <v>38</v>
      </c>
      <c r="L294" s="1" t="s">
        <v>39</v>
      </c>
      <c r="M294" s="1" t="s">
        <v>40</v>
      </c>
      <c r="N294" s="1"/>
    </row>
    <row r="295" spans="1:14" x14ac:dyDescent="0.45">
      <c r="A295" s="1" t="s">
        <v>103</v>
      </c>
      <c r="B295" s="1" t="s">
        <v>15</v>
      </c>
      <c r="C295" s="1">
        <v>15</v>
      </c>
      <c r="D295" s="1" t="s">
        <v>35</v>
      </c>
      <c r="E295" s="1" t="s">
        <v>36</v>
      </c>
      <c r="F295" s="1" t="s">
        <v>8</v>
      </c>
      <c r="G295" s="1" t="s">
        <v>9</v>
      </c>
      <c r="H295" s="1" t="s">
        <v>37</v>
      </c>
      <c r="I295" s="1" t="s">
        <v>37</v>
      </c>
      <c r="J295" s="1" t="s">
        <v>37</v>
      </c>
      <c r="K295" s="1" t="s">
        <v>38</v>
      </c>
      <c r="L295" s="1" t="s">
        <v>39</v>
      </c>
      <c r="M295" s="1" t="s">
        <v>40</v>
      </c>
      <c r="N295" s="1"/>
    </row>
    <row r="296" spans="1:14" x14ac:dyDescent="0.45">
      <c r="A296" s="1" t="s">
        <v>115</v>
      </c>
      <c r="B296" s="1" t="s">
        <v>15</v>
      </c>
      <c r="C296" s="1">
        <v>15</v>
      </c>
      <c r="D296" s="1" t="s">
        <v>35</v>
      </c>
      <c r="E296" s="1" t="s">
        <v>36</v>
      </c>
      <c r="F296" s="1" t="s">
        <v>8</v>
      </c>
      <c r="G296" s="1" t="s">
        <v>9</v>
      </c>
      <c r="H296" s="1" t="s">
        <v>37</v>
      </c>
      <c r="I296" s="1" t="s">
        <v>37</v>
      </c>
      <c r="J296" s="1" t="s">
        <v>37</v>
      </c>
      <c r="K296" s="1" t="s">
        <v>38</v>
      </c>
      <c r="L296" s="1" t="s">
        <v>39</v>
      </c>
      <c r="M296" s="1" t="s">
        <v>40</v>
      </c>
      <c r="N296" s="1"/>
    </row>
    <row r="297" spans="1:14" x14ac:dyDescent="0.45">
      <c r="A297" s="1" t="s">
        <v>56</v>
      </c>
      <c r="B297" s="1" t="s">
        <v>15</v>
      </c>
      <c r="C297" s="1">
        <v>16</v>
      </c>
      <c r="D297" s="1" t="s">
        <v>35</v>
      </c>
      <c r="E297" s="1" t="s">
        <v>36</v>
      </c>
      <c r="F297" s="1" t="s">
        <v>8</v>
      </c>
      <c r="G297" s="1">
        <v>37.94</v>
      </c>
      <c r="H297" s="1" t="s">
        <v>37</v>
      </c>
      <c r="I297" s="1" t="s">
        <v>37</v>
      </c>
      <c r="J297" s="1" t="s">
        <v>37</v>
      </c>
      <c r="K297" s="1" t="s">
        <v>38</v>
      </c>
      <c r="L297" s="1">
        <v>37.9390263762835</v>
      </c>
      <c r="M297" s="1" t="s">
        <v>40</v>
      </c>
      <c r="N297" s="1"/>
    </row>
    <row r="298" spans="1:14" x14ac:dyDescent="0.45">
      <c r="A298" s="1" t="s">
        <v>127</v>
      </c>
      <c r="B298" s="1" t="s">
        <v>15</v>
      </c>
      <c r="C298" s="1">
        <v>16</v>
      </c>
      <c r="D298" s="1" t="s">
        <v>35</v>
      </c>
      <c r="E298" s="1" t="s">
        <v>36</v>
      </c>
      <c r="F298" s="1" t="s">
        <v>8</v>
      </c>
      <c r="G298" s="1">
        <v>37.700000000000003</v>
      </c>
      <c r="H298" s="1" t="s">
        <v>37</v>
      </c>
      <c r="I298" s="1" t="s">
        <v>37</v>
      </c>
      <c r="J298" s="1" t="s">
        <v>37</v>
      </c>
      <c r="K298" s="1" t="s">
        <v>38</v>
      </c>
      <c r="L298" s="1">
        <v>37.697250179790998</v>
      </c>
      <c r="M298" s="1" t="s">
        <v>40</v>
      </c>
      <c r="N298" s="1"/>
    </row>
    <row r="299" spans="1:14" x14ac:dyDescent="0.45">
      <c r="A299" s="1" t="s">
        <v>139</v>
      </c>
      <c r="B299" s="1" t="s">
        <v>15</v>
      </c>
      <c r="C299" s="1">
        <v>16</v>
      </c>
      <c r="D299" s="1" t="s">
        <v>35</v>
      </c>
      <c r="E299" s="1" t="s">
        <v>36</v>
      </c>
      <c r="F299" s="1" t="s">
        <v>8</v>
      </c>
      <c r="G299" s="1">
        <v>37.76</v>
      </c>
      <c r="H299" s="1" t="s">
        <v>37</v>
      </c>
      <c r="I299" s="1" t="s">
        <v>37</v>
      </c>
      <c r="J299" s="1" t="s">
        <v>37</v>
      </c>
      <c r="K299" s="1" t="s">
        <v>38</v>
      </c>
      <c r="L299" s="1">
        <v>37.7649888908512</v>
      </c>
      <c r="M299" s="1" t="s">
        <v>40</v>
      </c>
      <c r="N299" s="1"/>
    </row>
    <row r="300" spans="1:14" x14ac:dyDescent="0.45">
      <c r="A300" s="1" t="s">
        <v>68</v>
      </c>
      <c r="B300" s="1" t="s">
        <v>15</v>
      </c>
      <c r="C300" s="1">
        <v>17</v>
      </c>
      <c r="D300" s="1" t="s">
        <v>35</v>
      </c>
      <c r="E300" s="1" t="s">
        <v>36</v>
      </c>
      <c r="F300" s="1" t="s">
        <v>8</v>
      </c>
      <c r="G300" s="1" t="s">
        <v>9</v>
      </c>
      <c r="H300" s="1" t="s">
        <v>37</v>
      </c>
      <c r="I300" s="1" t="s">
        <v>37</v>
      </c>
      <c r="J300" s="1" t="s">
        <v>37</v>
      </c>
      <c r="K300" s="1" t="s">
        <v>38</v>
      </c>
      <c r="L300" s="1" t="s">
        <v>39</v>
      </c>
      <c r="M300" s="1" t="s">
        <v>40</v>
      </c>
      <c r="N300" s="1"/>
    </row>
    <row r="301" spans="1:14" x14ac:dyDescent="0.45">
      <c r="A301" s="1" t="s">
        <v>80</v>
      </c>
      <c r="B301" s="1" t="s">
        <v>15</v>
      </c>
      <c r="C301" s="1">
        <v>17</v>
      </c>
      <c r="D301" s="1" t="s">
        <v>35</v>
      </c>
      <c r="E301" s="1" t="s">
        <v>36</v>
      </c>
      <c r="F301" s="1" t="s">
        <v>8</v>
      </c>
      <c r="G301" s="1" t="s">
        <v>9</v>
      </c>
      <c r="H301" s="1" t="s">
        <v>37</v>
      </c>
      <c r="I301" s="1" t="s">
        <v>37</v>
      </c>
      <c r="J301" s="1" t="s">
        <v>37</v>
      </c>
      <c r="K301" s="1" t="s">
        <v>38</v>
      </c>
      <c r="L301" s="1" t="s">
        <v>39</v>
      </c>
      <c r="M301" s="1" t="s">
        <v>40</v>
      </c>
      <c r="N301" s="1"/>
    </row>
    <row r="302" spans="1:14" x14ac:dyDescent="0.45">
      <c r="A302" s="1" t="s">
        <v>92</v>
      </c>
      <c r="B302" s="1" t="s">
        <v>15</v>
      </c>
      <c r="C302" s="1">
        <v>17</v>
      </c>
      <c r="D302" s="1" t="s">
        <v>35</v>
      </c>
      <c r="E302" s="1" t="s">
        <v>36</v>
      </c>
      <c r="F302" s="1" t="s">
        <v>8</v>
      </c>
      <c r="G302" s="1">
        <v>37.619999999999997</v>
      </c>
      <c r="H302" s="1" t="s">
        <v>37</v>
      </c>
      <c r="I302" s="1" t="s">
        <v>37</v>
      </c>
      <c r="J302" s="1" t="s">
        <v>37</v>
      </c>
      <c r="K302" s="1" t="s">
        <v>38</v>
      </c>
      <c r="L302" s="1">
        <v>37.616241592631503</v>
      </c>
      <c r="M302" s="1" t="s">
        <v>40</v>
      </c>
      <c r="N302" s="1"/>
    </row>
    <row r="303" spans="1:14" x14ac:dyDescent="0.45">
      <c r="A303" s="1" t="s">
        <v>104</v>
      </c>
      <c r="B303" s="1" t="s">
        <v>15</v>
      </c>
      <c r="C303" s="1">
        <v>18</v>
      </c>
      <c r="D303" s="1" t="s">
        <v>35</v>
      </c>
      <c r="E303" s="1" t="s">
        <v>36</v>
      </c>
      <c r="F303" s="1" t="s">
        <v>8</v>
      </c>
      <c r="G303" s="1" t="s">
        <v>9</v>
      </c>
      <c r="H303" s="1" t="s">
        <v>37</v>
      </c>
      <c r="I303" s="1" t="s">
        <v>37</v>
      </c>
      <c r="J303" s="1" t="s">
        <v>37</v>
      </c>
      <c r="K303" s="1" t="s">
        <v>38</v>
      </c>
      <c r="L303" s="1" t="s">
        <v>39</v>
      </c>
      <c r="M303" s="1" t="s">
        <v>40</v>
      </c>
      <c r="N303" s="1"/>
    </row>
    <row r="304" spans="1:14" x14ac:dyDescent="0.45">
      <c r="A304" s="1" t="s">
        <v>116</v>
      </c>
      <c r="B304" s="1" t="s">
        <v>15</v>
      </c>
      <c r="C304" s="1">
        <v>18</v>
      </c>
      <c r="D304" s="1" t="s">
        <v>35</v>
      </c>
      <c r="E304" s="1" t="s">
        <v>36</v>
      </c>
      <c r="F304" s="1" t="s">
        <v>8</v>
      </c>
      <c r="G304" s="1">
        <v>38.299999999999997</v>
      </c>
      <c r="H304" s="1" t="s">
        <v>37</v>
      </c>
      <c r="I304" s="1" t="s">
        <v>37</v>
      </c>
      <c r="J304" s="1" t="s">
        <v>37</v>
      </c>
      <c r="K304" s="1" t="s">
        <v>38</v>
      </c>
      <c r="L304" s="1">
        <v>38.296675600544603</v>
      </c>
      <c r="M304" s="1" t="s">
        <v>40</v>
      </c>
      <c r="N304" s="1"/>
    </row>
    <row r="305" spans="1:14" x14ac:dyDescent="0.45">
      <c r="A305" s="1" t="s">
        <v>128</v>
      </c>
      <c r="B305" s="1" t="s">
        <v>15</v>
      </c>
      <c r="C305" s="1">
        <v>18</v>
      </c>
      <c r="D305" s="1" t="s">
        <v>35</v>
      </c>
      <c r="E305" s="1" t="s">
        <v>36</v>
      </c>
      <c r="F305" s="1" t="s">
        <v>8</v>
      </c>
      <c r="G305" s="1">
        <v>36.43</v>
      </c>
      <c r="H305" s="1" t="s">
        <v>37</v>
      </c>
      <c r="I305" s="1" t="s">
        <v>37</v>
      </c>
      <c r="J305" s="1" t="s">
        <v>37</v>
      </c>
      <c r="K305" s="1" t="s">
        <v>38</v>
      </c>
      <c r="L305" s="1">
        <v>36.434184444853301</v>
      </c>
      <c r="M305" s="1" t="s">
        <v>40</v>
      </c>
      <c r="N305" s="1"/>
    </row>
    <row r="306" spans="1:14" x14ac:dyDescent="0.45">
      <c r="A306" s="1" t="s">
        <v>57</v>
      </c>
      <c r="B306" s="1" t="s">
        <v>15</v>
      </c>
      <c r="C306" s="1">
        <v>19</v>
      </c>
      <c r="D306" s="1" t="s">
        <v>35</v>
      </c>
      <c r="E306" s="1" t="s">
        <v>36</v>
      </c>
      <c r="F306" s="1" t="s">
        <v>8</v>
      </c>
      <c r="G306" s="1">
        <v>37.39</v>
      </c>
      <c r="H306" s="1" t="s">
        <v>37</v>
      </c>
      <c r="I306" s="1" t="s">
        <v>37</v>
      </c>
      <c r="J306" s="1" t="s">
        <v>37</v>
      </c>
      <c r="K306" s="1" t="s">
        <v>38</v>
      </c>
      <c r="L306" s="1">
        <v>37.387163197039897</v>
      </c>
      <c r="M306" s="1" t="s">
        <v>40</v>
      </c>
      <c r="N306" s="1"/>
    </row>
    <row r="307" spans="1:14" x14ac:dyDescent="0.45">
      <c r="A307" s="1" t="s">
        <v>69</v>
      </c>
      <c r="B307" s="1" t="s">
        <v>15</v>
      </c>
      <c r="C307" s="1">
        <v>19</v>
      </c>
      <c r="D307" s="1" t="s">
        <v>35</v>
      </c>
      <c r="E307" s="1" t="s">
        <v>36</v>
      </c>
      <c r="F307" s="1" t="s">
        <v>8</v>
      </c>
      <c r="G307" s="1" t="s">
        <v>9</v>
      </c>
      <c r="H307" s="1" t="s">
        <v>37</v>
      </c>
      <c r="I307" s="1" t="s">
        <v>37</v>
      </c>
      <c r="J307" s="1" t="s">
        <v>37</v>
      </c>
      <c r="K307" s="1" t="s">
        <v>38</v>
      </c>
      <c r="L307" s="1" t="s">
        <v>39</v>
      </c>
      <c r="M307" s="1" t="s">
        <v>40</v>
      </c>
      <c r="N307" s="1"/>
    </row>
    <row r="308" spans="1:14" x14ac:dyDescent="0.45">
      <c r="A308" s="1" t="s">
        <v>140</v>
      </c>
      <c r="B308" s="1" t="s">
        <v>15</v>
      </c>
      <c r="C308" s="1">
        <v>19</v>
      </c>
      <c r="D308" s="1" t="s">
        <v>35</v>
      </c>
      <c r="E308" s="1" t="s">
        <v>36</v>
      </c>
      <c r="F308" s="1" t="s">
        <v>8</v>
      </c>
      <c r="G308" s="1" t="s">
        <v>9</v>
      </c>
      <c r="H308" s="1" t="s">
        <v>37</v>
      </c>
      <c r="I308" s="1" t="s">
        <v>37</v>
      </c>
      <c r="J308" s="1" t="s">
        <v>37</v>
      </c>
      <c r="K308" s="1" t="s">
        <v>38</v>
      </c>
      <c r="L308" s="1" t="s">
        <v>39</v>
      </c>
      <c r="M308" s="1" t="s">
        <v>40</v>
      </c>
      <c r="N308" s="1"/>
    </row>
    <row r="309" spans="1:14" x14ac:dyDescent="0.45">
      <c r="A309" s="1" t="s">
        <v>81</v>
      </c>
      <c r="B309" s="1" t="s">
        <v>15</v>
      </c>
      <c r="C309" s="1">
        <v>20</v>
      </c>
      <c r="D309" s="1" t="s">
        <v>35</v>
      </c>
      <c r="E309" s="1" t="s">
        <v>36</v>
      </c>
      <c r="F309" s="1" t="s">
        <v>8</v>
      </c>
      <c r="G309" s="1">
        <v>36.94</v>
      </c>
      <c r="H309" s="1" t="s">
        <v>37</v>
      </c>
      <c r="I309" s="1" t="s">
        <v>37</v>
      </c>
      <c r="J309" s="1" t="s">
        <v>37</v>
      </c>
      <c r="K309" s="1" t="s">
        <v>38</v>
      </c>
      <c r="L309" s="1">
        <v>36.937481422812397</v>
      </c>
      <c r="M309" s="1" t="s">
        <v>40</v>
      </c>
      <c r="N309" s="1"/>
    </row>
    <row r="310" spans="1:14" x14ac:dyDescent="0.45">
      <c r="A310" s="1" t="s">
        <v>93</v>
      </c>
      <c r="B310" s="1" t="s">
        <v>15</v>
      </c>
      <c r="C310" s="1">
        <v>20</v>
      </c>
      <c r="D310" s="1" t="s">
        <v>35</v>
      </c>
      <c r="E310" s="1" t="s">
        <v>36</v>
      </c>
      <c r="F310" s="1" t="s">
        <v>8</v>
      </c>
      <c r="G310" s="1">
        <v>37.76</v>
      </c>
      <c r="H310" s="1" t="s">
        <v>37</v>
      </c>
      <c r="I310" s="1" t="s">
        <v>37</v>
      </c>
      <c r="J310" s="1" t="s">
        <v>37</v>
      </c>
      <c r="K310" s="1" t="s">
        <v>38</v>
      </c>
      <c r="L310" s="1">
        <v>37.763057723036198</v>
      </c>
      <c r="M310" s="1" t="s">
        <v>40</v>
      </c>
      <c r="N310" s="1"/>
    </row>
    <row r="311" spans="1:14" x14ac:dyDescent="0.45">
      <c r="A311" s="1" t="s">
        <v>105</v>
      </c>
      <c r="B311" s="1" t="s">
        <v>15</v>
      </c>
      <c r="C311" s="1">
        <v>20</v>
      </c>
      <c r="D311" s="1" t="s">
        <v>35</v>
      </c>
      <c r="E311" s="1" t="s">
        <v>36</v>
      </c>
      <c r="F311" s="1" t="s">
        <v>8</v>
      </c>
      <c r="G311" s="1">
        <v>36.42</v>
      </c>
      <c r="H311" s="1" t="s">
        <v>37</v>
      </c>
      <c r="I311" s="1" t="s">
        <v>37</v>
      </c>
      <c r="J311" s="1" t="s">
        <v>37</v>
      </c>
      <c r="K311" s="1" t="s">
        <v>38</v>
      </c>
      <c r="L311" s="1">
        <v>36.421004649661597</v>
      </c>
      <c r="M311" s="1" t="s">
        <v>40</v>
      </c>
      <c r="N311" s="1"/>
    </row>
    <row r="312" spans="1:14" x14ac:dyDescent="0.45">
      <c r="A312" s="1" t="s">
        <v>117</v>
      </c>
      <c r="B312" s="1" t="s">
        <v>15</v>
      </c>
      <c r="C312" s="1">
        <v>21</v>
      </c>
      <c r="D312" s="1" t="s">
        <v>35</v>
      </c>
      <c r="E312" s="1" t="s">
        <v>36</v>
      </c>
      <c r="F312" s="1" t="s">
        <v>8</v>
      </c>
      <c r="G312" s="1">
        <v>37.340000000000003</v>
      </c>
      <c r="H312" s="1" t="s">
        <v>37</v>
      </c>
      <c r="I312" s="1" t="s">
        <v>37</v>
      </c>
      <c r="J312" s="1" t="s">
        <v>37</v>
      </c>
      <c r="K312" s="1" t="s">
        <v>38</v>
      </c>
      <c r="L312" s="1">
        <v>37.339569441742398</v>
      </c>
      <c r="M312" s="1" t="s">
        <v>40</v>
      </c>
      <c r="N312" s="1"/>
    </row>
    <row r="313" spans="1:14" x14ac:dyDescent="0.45">
      <c r="A313" s="1" t="s">
        <v>129</v>
      </c>
      <c r="B313" s="1" t="s">
        <v>15</v>
      </c>
      <c r="C313" s="1">
        <v>21</v>
      </c>
      <c r="D313" s="1" t="s">
        <v>35</v>
      </c>
      <c r="E313" s="1" t="s">
        <v>36</v>
      </c>
      <c r="F313" s="1" t="s">
        <v>8</v>
      </c>
      <c r="G313" s="1" t="s">
        <v>9</v>
      </c>
      <c r="H313" s="1" t="s">
        <v>37</v>
      </c>
      <c r="I313" s="1" t="s">
        <v>37</v>
      </c>
      <c r="J313" s="1" t="s">
        <v>37</v>
      </c>
      <c r="K313" s="1" t="s">
        <v>38</v>
      </c>
      <c r="L313" s="1" t="s">
        <v>39</v>
      </c>
      <c r="M313" s="1" t="s">
        <v>40</v>
      </c>
      <c r="N313" s="1"/>
    </row>
    <row r="314" spans="1:14" x14ac:dyDescent="0.45">
      <c r="A314" s="1" t="s">
        <v>141</v>
      </c>
      <c r="B314" s="1" t="s">
        <v>15</v>
      </c>
      <c r="C314" s="1">
        <v>21</v>
      </c>
      <c r="D314" s="1" t="s">
        <v>35</v>
      </c>
      <c r="E314" s="1" t="s">
        <v>36</v>
      </c>
      <c r="F314" s="1" t="s">
        <v>8</v>
      </c>
      <c r="G314" s="1">
        <v>38.18</v>
      </c>
      <c r="H314" s="1" t="s">
        <v>37</v>
      </c>
      <c r="I314" s="1" t="s">
        <v>37</v>
      </c>
      <c r="J314" s="1" t="s">
        <v>37</v>
      </c>
      <c r="K314" s="1" t="s">
        <v>38</v>
      </c>
      <c r="L314" s="1">
        <v>38.175437626948998</v>
      </c>
      <c r="M314" s="1" t="s">
        <v>40</v>
      </c>
      <c r="N314" s="1"/>
    </row>
    <row r="315" spans="1:14" x14ac:dyDescent="0.45">
      <c r="A315" s="1" t="s">
        <v>58</v>
      </c>
      <c r="B315" s="1" t="s">
        <v>15</v>
      </c>
      <c r="C315" s="1">
        <v>22</v>
      </c>
      <c r="D315" s="1" t="s">
        <v>35</v>
      </c>
      <c r="E315" s="1" t="s">
        <v>36</v>
      </c>
      <c r="F315" s="1" t="s">
        <v>8</v>
      </c>
      <c r="G315" s="1">
        <v>37.950000000000003</v>
      </c>
      <c r="H315" s="1" t="s">
        <v>37</v>
      </c>
      <c r="I315" s="1" t="s">
        <v>37</v>
      </c>
      <c r="J315" s="1" t="s">
        <v>37</v>
      </c>
      <c r="K315" s="1" t="s">
        <v>38</v>
      </c>
      <c r="L315" s="1">
        <v>37.953766299279401</v>
      </c>
      <c r="M315" s="1" t="s">
        <v>40</v>
      </c>
      <c r="N315" s="1"/>
    </row>
    <row r="316" spans="1:14" x14ac:dyDescent="0.45">
      <c r="A316" s="1" t="s">
        <v>70</v>
      </c>
      <c r="B316" s="1" t="s">
        <v>15</v>
      </c>
      <c r="C316" s="1">
        <v>22</v>
      </c>
      <c r="D316" s="1" t="s">
        <v>35</v>
      </c>
      <c r="E316" s="1" t="s">
        <v>36</v>
      </c>
      <c r="F316" s="1" t="s">
        <v>8</v>
      </c>
      <c r="G316" s="1">
        <v>37.74</v>
      </c>
      <c r="H316" s="1" t="s">
        <v>37</v>
      </c>
      <c r="I316" s="1" t="s">
        <v>37</v>
      </c>
      <c r="J316" s="1" t="s">
        <v>37</v>
      </c>
      <c r="K316" s="1" t="s">
        <v>38</v>
      </c>
      <c r="L316" s="1">
        <v>37.736647550377299</v>
      </c>
      <c r="M316" s="1" t="s">
        <v>40</v>
      </c>
      <c r="N316" s="1"/>
    </row>
    <row r="317" spans="1:14" x14ac:dyDescent="0.45">
      <c r="A317" s="1" t="s">
        <v>82</v>
      </c>
      <c r="B317" s="1" t="s">
        <v>15</v>
      </c>
      <c r="C317" s="1">
        <v>22</v>
      </c>
      <c r="D317" s="1" t="s">
        <v>35</v>
      </c>
      <c r="E317" s="1" t="s">
        <v>36</v>
      </c>
      <c r="F317" s="1" t="s">
        <v>8</v>
      </c>
      <c r="G317" s="1" t="s">
        <v>9</v>
      </c>
      <c r="H317" s="1" t="s">
        <v>37</v>
      </c>
      <c r="I317" s="1" t="s">
        <v>37</v>
      </c>
      <c r="J317" s="1" t="s">
        <v>37</v>
      </c>
      <c r="K317" s="1" t="s">
        <v>38</v>
      </c>
      <c r="L317" s="1" t="s">
        <v>39</v>
      </c>
      <c r="M317" s="1" t="s">
        <v>40</v>
      </c>
      <c r="N317" s="1"/>
    </row>
    <row r="318" spans="1:14" x14ac:dyDescent="0.45">
      <c r="A318" s="1" t="s">
        <v>94</v>
      </c>
      <c r="B318" s="1" t="s">
        <v>15</v>
      </c>
      <c r="C318" s="1">
        <v>23</v>
      </c>
      <c r="D318" s="1" t="s">
        <v>35</v>
      </c>
      <c r="E318" s="1" t="s">
        <v>36</v>
      </c>
      <c r="F318" s="1" t="s">
        <v>8</v>
      </c>
      <c r="G318" s="1">
        <v>38.36</v>
      </c>
      <c r="H318" s="1" t="s">
        <v>37</v>
      </c>
      <c r="I318" s="1" t="s">
        <v>37</v>
      </c>
      <c r="J318" s="1" t="s">
        <v>37</v>
      </c>
      <c r="K318" s="1" t="s">
        <v>38</v>
      </c>
      <c r="L318" s="1">
        <v>38.3552115191371</v>
      </c>
      <c r="M318" s="1" t="s">
        <v>40</v>
      </c>
      <c r="N318" s="1"/>
    </row>
    <row r="319" spans="1:14" x14ac:dyDescent="0.45">
      <c r="A319" s="1" t="s">
        <v>106</v>
      </c>
      <c r="B319" s="1" t="s">
        <v>15</v>
      </c>
      <c r="C319" s="1">
        <v>23</v>
      </c>
      <c r="D319" s="1" t="s">
        <v>35</v>
      </c>
      <c r="E319" s="1" t="s">
        <v>36</v>
      </c>
      <c r="F319" s="1" t="s">
        <v>8</v>
      </c>
      <c r="G319" s="1">
        <v>37.479999999999997</v>
      </c>
      <c r="H319" s="1" t="s">
        <v>37</v>
      </c>
      <c r="I319" s="1" t="s">
        <v>37</v>
      </c>
      <c r="J319" s="1" t="s">
        <v>37</v>
      </c>
      <c r="K319" s="1" t="s">
        <v>38</v>
      </c>
      <c r="L319" s="1">
        <v>37.475893815832499</v>
      </c>
      <c r="M319" s="1" t="s">
        <v>40</v>
      </c>
      <c r="N319" s="1"/>
    </row>
    <row r="320" spans="1:14" x14ac:dyDescent="0.45">
      <c r="A320" s="1" t="s">
        <v>118</v>
      </c>
      <c r="B320" s="1" t="s">
        <v>15</v>
      </c>
      <c r="C320" s="1">
        <v>23</v>
      </c>
      <c r="D320" s="1" t="s">
        <v>35</v>
      </c>
      <c r="E320" s="1" t="s">
        <v>36</v>
      </c>
      <c r="F320" s="1" t="s">
        <v>8</v>
      </c>
      <c r="G320" s="1">
        <v>37.89</v>
      </c>
      <c r="H320" s="1" t="s">
        <v>37</v>
      </c>
      <c r="I320" s="1" t="s">
        <v>37</v>
      </c>
      <c r="J320" s="1" t="s">
        <v>37</v>
      </c>
      <c r="K320" s="1" t="s">
        <v>38</v>
      </c>
      <c r="L320" s="1">
        <v>37.892366092781003</v>
      </c>
      <c r="M320" s="1" t="s">
        <v>40</v>
      </c>
      <c r="N320" s="1"/>
    </row>
    <row r="321" spans="1:14" x14ac:dyDescent="0.45">
      <c r="A321" s="1" t="s">
        <v>59</v>
      </c>
      <c r="B321" s="1" t="s">
        <v>15</v>
      </c>
      <c r="C321" s="1">
        <v>24</v>
      </c>
      <c r="D321" s="1" t="s">
        <v>35</v>
      </c>
      <c r="E321" s="1" t="s">
        <v>36</v>
      </c>
      <c r="F321" s="1" t="s">
        <v>8</v>
      </c>
      <c r="G321" s="1" t="s">
        <v>9</v>
      </c>
      <c r="H321" s="1" t="s">
        <v>37</v>
      </c>
      <c r="I321" s="1" t="s">
        <v>37</v>
      </c>
      <c r="J321" s="1" t="s">
        <v>37</v>
      </c>
      <c r="K321" s="1" t="s">
        <v>38</v>
      </c>
      <c r="L321" s="1" t="s">
        <v>39</v>
      </c>
      <c r="M321" s="1" t="s">
        <v>40</v>
      </c>
      <c r="N321" s="1"/>
    </row>
    <row r="322" spans="1:14" x14ac:dyDescent="0.45">
      <c r="A322" s="1" t="s">
        <v>130</v>
      </c>
      <c r="B322" s="1" t="s">
        <v>15</v>
      </c>
      <c r="C322" s="1">
        <v>24</v>
      </c>
      <c r="D322" s="1" t="s">
        <v>35</v>
      </c>
      <c r="E322" s="1" t="s">
        <v>36</v>
      </c>
      <c r="F322" s="1" t="s">
        <v>8</v>
      </c>
      <c r="G322" s="1" t="s">
        <v>9</v>
      </c>
      <c r="H322" s="1" t="s">
        <v>37</v>
      </c>
      <c r="I322" s="1" t="s">
        <v>37</v>
      </c>
      <c r="J322" s="1" t="s">
        <v>37</v>
      </c>
      <c r="K322" s="1" t="s">
        <v>38</v>
      </c>
      <c r="L322" s="1" t="s">
        <v>39</v>
      </c>
      <c r="M322" s="1" t="s">
        <v>40</v>
      </c>
      <c r="N322" s="1"/>
    </row>
    <row r="323" spans="1:14" x14ac:dyDescent="0.45">
      <c r="A323" s="1" t="s">
        <v>142</v>
      </c>
      <c r="B323" s="1" t="s">
        <v>15</v>
      </c>
      <c r="C323" s="1">
        <v>24</v>
      </c>
      <c r="D323" s="1" t="s">
        <v>35</v>
      </c>
      <c r="E323" s="1" t="s">
        <v>36</v>
      </c>
      <c r="F323" s="1" t="s">
        <v>8</v>
      </c>
      <c r="G323" s="1">
        <v>39.18</v>
      </c>
      <c r="H323" s="1" t="s">
        <v>37</v>
      </c>
      <c r="I323" s="1" t="s">
        <v>37</v>
      </c>
      <c r="J323" s="1" t="s">
        <v>37</v>
      </c>
      <c r="K323" s="1" t="s">
        <v>38</v>
      </c>
      <c r="L323" s="1">
        <v>39.1788405314987</v>
      </c>
      <c r="M323" s="1" t="s">
        <v>40</v>
      </c>
      <c r="N323" s="1"/>
    </row>
    <row r="324" spans="1:14" x14ac:dyDescent="0.45">
      <c r="A324" s="1" t="s">
        <v>71</v>
      </c>
      <c r="B324" s="1" t="s">
        <v>15</v>
      </c>
      <c r="C324" s="1">
        <v>25</v>
      </c>
      <c r="D324" s="1" t="s">
        <v>35</v>
      </c>
      <c r="E324" s="1" t="s">
        <v>36</v>
      </c>
      <c r="F324" s="1" t="s">
        <v>8</v>
      </c>
      <c r="G324" s="1">
        <v>36.61</v>
      </c>
      <c r="H324" s="1" t="s">
        <v>37</v>
      </c>
      <c r="I324" s="1" t="s">
        <v>37</v>
      </c>
      <c r="J324" s="1" t="s">
        <v>37</v>
      </c>
      <c r="K324" s="1" t="s">
        <v>38</v>
      </c>
      <c r="L324" s="1">
        <v>36.607965606990298</v>
      </c>
      <c r="M324" s="1" t="s">
        <v>40</v>
      </c>
      <c r="N324" s="1"/>
    </row>
    <row r="325" spans="1:14" x14ac:dyDescent="0.45">
      <c r="A325" s="1" t="s">
        <v>83</v>
      </c>
      <c r="B325" s="1" t="s">
        <v>15</v>
      </c>
      <c r="C325" s="1">
        <v>25</v>
      </c>
      <c r="D325" s="1" t="s">
        <v>35</v>
      </c>
      <c r="E325" s="1" t="s">
        <v>36</v>
      </c>
      <c r="F325" s="1" t="s">
        <v>8</v>
      </c>
      <c r="G325" s="1">
        <v>36.25</v>
      </c>
      <c r="H325" s="1" t="s">
        <v>37</v>
      </c>
      <c r="I325" s="1" t="s">
        <v>37</v>
      </c>
      <c r="J325" s="1" t="s">
        <v>37</v>
      </c>
      <c r="K325" s="1" t="s">
        <v>38</v>
      </c>
      <c r="L325" s="1">
        <v>36.247613250735398</v>
      </c>
      <c r="M325" s="1" t="s">
        <v>40</v>
      </c>
      <c r="N325" s="1"/>
    </row>
    <row r="326" spans="1:14" x14ac:dyDescent="0.45">
      <c r="A326" s="1" t="s">
        <v>95</v>
      </c>
      <c r="B326" s="1" t="s">
        <v>15</v>
      </c>
      <c r="C326" s="1">
        <v>25</v>
      </c>
      <c r="D326" s="1" t="s">
        <v>35</v>
      </c>
      <c r="E326" s="1" t="s">
        <v>36</v>
      </c>
      <c r="F326" s="1" t="s">
        <v>8</v>
      </c>
      <c r="G326" s="1">
        <v>35.409999999999997</v>
      </c>
      <c r="H326" s="1" t="s">
        <v>37</v>
      </c>
      <c r="I326" s="1" t="s">
        <v>37</v>
      </c>
      <c r="J326" s="1" t="s">
        <v>37</v>
      </c>
      <c r="K326" s="1" t="s">
        <v>38</v>
      </c>
      <c r="L326" s="1">
        <v>35.411961632575597</v>
      </c>
      <c r="M326" s="1" t="s">
        <v>40</v>
      </c>
      <c r="N326" s="1"/>
    </row>
    <row r="327" spans="1:14" x14ac:dyDescent="0.45">
      <c r="A327" s="1" t="s">
        <v>107</v>
      </c>
      <c r="B327" s="1" t="s">
        <v>15</v>
      </c>
      <c r="C327" s="1">
        <v>26</v>
      </c>
      <c r="D327" s="1" t="s">
        <v>35</v>
      </c>
      <c r="E327" s="1" t="s">
        <v>36</v>
      </c>
      <c r="F327" s="1" t="s">
        <v>8</v>
      </c>
      <c r="G327" s="1">
        <v>37.270000000000003</v>
      </c>
      <c r="H327" s="1" t="s">
        <v>37</v>
      </c>
      <c r="I327" s="1" t="s">
        <v>37</v>
      </c>
      <c r="J327" s="1" t="s">
        <v>37</v>
      </c>
      <c r="K327" s="1" t="s">
        <v>38</v>
      </c>
      <c r="L327" s="1">
        <v>37.266625536197601</v>
      </c>
      <c r="M327" s="1" t="s">
        <v>40</v>
      </c>
      <c r="N327" s="1"/>
    </row>
    <row r="328" spans="1:14" x14ac:dyDescent="0.45">
      <c r="A328" s="1" t="s">
        <v>119</v>
      </c>
      <c r="B328" s="1" t="s">
        <v>15</v>
      </c>
      <c r="C328" s="1">
        <v>26</v>
      </c>
      <c r="D328" s="1" t="s">
        <v>35</v>
      </c>
      <c r="E328" s="1" t="s">
        <v>36</v>
      </c>
      <c r="F328" s="1" t="s">
        <v>8</v>
      </c>
      <c r="G328" s="1">
        <v>38.61</v>
      </c>
      <c r="H328" s="1" t="s">
        <v>37</v>
      </c>
      <c r="I328" s="1" t="s">
        <v>37</v>
      </c>
      <c r="J328" s="1" t="s">
        <v>37</v>
      </c>
      <c r="K328" s="1" t="s">
        <v>38</v>
      </c>
      <c r="L328" s="1">
        <v>38.613580532657799</v>
      </c>
      <c r="M328" s="1" t="s">
        <v>40</v>
      </c>
      <c r="N328" s="1"/>
    </row>
    <row r="329" spans="1:14" x14ac:dyDescent="0.45">
      <c r="A329" s="1" t="s">
        <v>131</v>
      </c>
      <c r="B329" s="1" t="s">
        <v>15</v>
      </c>
      <c r="C329" s="1">
        <v>26</v>
      </c>
      <c r="D329" s="1" t="s">
        <v>35</v>
      </c>
      <c r="E329" s="1" t="s">
        <v>36</v>
      </c>
      <c r="F329" s="1" t="s">
        <v>8</v>
      </c>
      <c r="G329" s="1" t="s">
        <v>9</v>
      </c>
      <c r="H329" s="1" t="s">
        <v>37</v>
      </c>
      <c r="I329" s="1" t="s">
        <v>37</v>
      </c>
      <c r="J329" s="1" t="s">
        <v>37</v>
      </c>
      <c r="K329" s="1" t="s">
        <v>38</v>
      </c>
      <c r="L329" s="1" t="s">
        <v>39</v>
      </c>
      <c r="M329" s="1" t="s">
        <v>40</v>
      </c>
      <c r="N329" s="1"/>
    </row>
    <row r="330" spans="1:14" x14ac:dyDescent="0.45">
      <c r="A330" s="1" t="s">
        <v>60</v>
      </c>
      <c r="B330" s="1" t="s">
        <v>15</v>
      </c>
      <c r="C330" s="1">
        <v>27</v>
      </c>
      <c r="D330" s="1" t="s">
        <v>35</v>
      </c>
      <c r="E330" s="1" t="s">
        <v>36</v>
      </c>
      <c r="F330" s="1" t="s">
        <v>8</v>
      </c>
      <c r="G330" s="1" t="s">
        <v>9</v>
      </c>
      <c r="H330" s="1" t="s">
        <v>37</v>
      </c>
      <c r="I330" s="1" t="s">
        <v>37</v>
      </c>
      <c r="J330" s="1" t="s">
        <v>37</v>
      </c>
      <c r="K330" s="1" t="s">
        <v>38</v>
      </c>
      <c r="L330" s="1" t="s">
        <v>39</v>
      </c>
      <c r="M330" s="1" t="s">
        <v>40</v>
      </c>
      <c r="N330" s="1"/>
    </row>
    <row r="331" spans="1:14" x14ac:dyDescent="0.45">
      <c r="A331" s="1" t="s">
        <v>72</v>
      </c>
      <c r="B331" s="1" t="s">
        <v>15</v>
      </c>
      <c r="C331" s="1">
        <v>27</v>
      </c>
      <c r="D331" s="1" t="s">
        <v>35</v>
      </c>
      <c r="E331" s="1" t="s">
        <v>36</v>
      </c>
      <c r="F331" s="1" t="s">
        <v>8</v>
      </c>
      <c r="G331" s="1" t="s">
        <v>9</v>
      </c>
      <c r="H331" s="1" t="s">
        <v>37</v>
      </c>
      <c r="I331" s="1" t="s">
        <v>37</v>
      </c>
      <c r="J331" s="1" t="s">
        <v>37</v>
      </c>
      <c r="K331" s="1" t="s">
        <v>38</v>
      </c>
      <c r="L331" s="1" t="s">
        <v>39</v>
      </c>
      <c r="M331" s="1" t="s">
        <v>40</v>
      </c>
      <c r="N331" s="1"/>
    </row>
    <row r="332" spans="1:14" x14ac:dyDescent="0.45">
      <c r="A332" s="1" t="s">
        <v>143</v>
      </c>
      <c r="B332" s="1" t="s">
        <v>15</v>
      </c>
      <c r="C332" s="1">
        <v>27</v>
      </c>
      <c r="D332" s="1" t="s">
        <v>35</v>
      </c>
      <c r="E332" s="1" t="s">
        <v>36</v>
      </c>
      <c r="F332" s="1" t="s">
        <v>8</v>
      </c>
      <c r="G332" s="1" t="s">
        <v>9</v>
      </c>
      <c r="H332" s="1" t="s">
        <v>37</v>
      </c>
      <c r="I332" s="1" t="s">
        <v>37</v>
      </c>
      <c r="J332" s="1" t="s">
        <v>37</v>
      </c>
      <c r="K332" s="1" t="s">
        <v>38</v>
      </c>
      <c r="L332" s="1" t="s">
        <v>39</v>
      </c>
      <c r="M332" s="1" t="s">
        <v>40</v>
      </c>
      <c r="N332" s="1"/>
    </row>
    <row r="333" spans="1:14" x14ac:dyDescent="0.45">
      <c r="A333" s="1" t="s">
        <v>84</v>
      </c>
      <c r="B333" s="1" t="s">
        <v>15</v>
      </c>
      <c r="C333" s="1">
        <v>28</v>
      </c>
      <c r="D333" s="1" t="s">
        <v>35</v>
      </c>
      <c r="E333" s="1" t="s">
        <v>36</v>
      </c>
      <c r="F333" s="1" t="s">
        <v>8</v>
      </c>
      <c r="G333" s="1">
        <v>35.67</v>
      </c>
      <c r="H333" s="1" t="s">
        <v>37</v>
      </c>
      <c r="I333" s="1" t="s">
        <v>37</v>
      </c>
      <c r="J333" s="1" t="s">
        <v>37</v>
      </c>
      <c r="K333" s="1" t="s">
        <v>38</v>
      </c>
      <c r="L333" s="1">
        <v>35.665508941759903</v>
      </c>
      <c r="M333" s="1" t="s">
        <v>40</v>
      </c>
      <c r="N333" s="1"/>
    </row>
    <row r="334" spans="1:14" x14ac:dyDescent="0.45">
      <c r="A334" s="1" t="s">
        <v>96</v>
      </c>
      <c r="B334" s="1" t="s">
        <v>15</v>
      </c>
      <c r="C334" s="1">
        <v>28</v>
      </c>
      <c r="D334" s="1" t="s">
        <v>35</v>
      </c>
      <c r="E334" s="1" t="s">
        <v>36</v>
      </c>
      <c r="F334" s="1" t="s">
        <v>8</v>
      </c>
      <c r="G334" s="1">
        <v>36.68</v>
      </c>
      <c r="H334" s="1" t="s">
        <v>37</v>
      </c>
      <c r="I334" s="1" t="s">
        <v>37</v>
      </c>
      <c r="J334" s="1" t="s">
        <v>37</v>
      </c>
      <c r="K334" s="1" t="s">
        <v>38</v>
      </c>
      <c r="L334" s="1">
        <v>36.681387083690403</v>
      </c>
      <c r="M334" s="1" t="s">
        <v>40</v>
      </c>
      <c r="N334" s="1"/>
    </row>
    <row r="335" spans="1:14" x14ac:dyDescent="0.45">
      <c r="A335" s="1" t="s">
        <v>108</v>
      </c>
      <c r="B335" s="1" t="s">
        <v>15</v>
      </c>
      <c r="C335" s="1">
        <v>28</v>
      </c>
      <c r="D335" s="1" t="s">
        <v>35</v>
      </c>
      <c r="E335" s="1" t="s">
        <v>36</v>
      </c>
      <c r="F335" s="1" t="s">
        <v>8</v>
      </c>
      <c r="G335" s="1">
        <v>35.67</v>
      </c>
      <c r="H335" s="1" t="s">
        <v>37</v>
      </c>
      <c r="I335" s="1" t="s">
        <v>37</v>
      </c>
      <c r="J335" s="1" t="s">
        <v>37</v>
      </c>
      <c r="K335" s="1" t="s">
        <v>38</v>
      </c>
      <c r="L335" s="1">
        <v>35.6716475660482</v>
      </c>
      <c r="M335" s="1" t="s">
        <v>40</v>
      </c>
      <c r="N335" s="1"/>
    </row>
    <row r="336" spans="1:14" x14ac:dyDescent="0.45">
      <c r="A336" s="1" t="s">
        <v>120</v>
      </c>
      <c r="B336" s="1" t="s">
        <v>15</v>
      </c>
      <c r="C336" s="1">
        <v>29</v>
      </c>
      <c r="D336" s="1" t="s">
        <v>35</v>
      </c>
      <c r="E336" s="1" t="s">
        <v>36</v>
      </c>
      <c r="F336" s="1" t="s">
        <v>8</v>
      </c>
      <c r="G336" s="1">
        <v>36.6</v>
      </c>
      <c r="H336" s="1" t="s">
        <v>37</v>
      </c>
      <c r="I336" s="1" t="s">
        <v>37</v>
      </c>
      <c r="J336" s="1" t="s">
        <v>37</v>
      </c>
      <c r="K336" s="1" t="s">
        <v>38</v>
      </c>
      <c r="L336" s="1">
        <v>36.602594881560996</v>
      </c>
      <c r="M336" s="1" t="s">
        <v>40</v>
      </c>
      <c r="N336" s="1"/>
    </row>
    <row r="337" spans="1:14" x14ac:dyDescent="0.45">
      <c r="A337" s="1" t="s">
        <v>132</v>
      </c>
      <c r="B337" s="1" t="s">
        <v>15</v>
      </c>
      <c r="C337" s="1">
        <v>29</v>
      </c>
      <c r="D337" s="1" t="s">
        <v>35</v>
      </c>
      <c r="E337" s="1" t="s">
        <v>36</v>
      </c>
      <c r="F337" s="1" t="s">
        <v>8</v>
      </c>
      <c r="G337" s="1">
        <v>37.04</v>
      </c>
      <c r="H337" s="1" t="s">
        <v>37</v>
      </c>
      <c r="I337" s="1" t="s">
        <v>37</v>
      </c>
      <c r="J337" s="1" t="s">
        <v>37</v>
      </c>
      <c r="K337" s="1" t="s">
        <v>38</v>
      </c>
      <c r="L337" s="1">
        <v>37.044053533943703</v>
      </c>
      <c r="M337" s="1" t="s">
        <v>40</v>
      </c>
      <c r="N337" s="1"/>
    </row>
    <row r="338" spans="1:14" x14ac:dyDescent="0.45">
      <c r="A338" s="1" t="s">
        <v>144</v>
      </c>
      <c r="B338" s="1" t="s">
        <v>15</v>
      </c>
      <c r="C338" s="1">
        <v>29</v>
      </c>
      <c r="D338" s="1" t="s">
        <v>35</v>
      </c>
      <c r="E338" s="1" t="s">
        <v>36</v>
      </c>
      <c r="F338" s="1" t="s">
        <v>8</v>
      </c>
      <c r="G338" s="1">
        <v>38.18</v>
      </c>
      <c r="H338" s="1" t="s">
        <v>37</v>
      </c>
      <c r="I338" s="1" t="s">
        <v>37</v>
      </c>
      <c r="J338" s="1" t="s">
        <v>37</v>
      </c>
      <c r="K338" s="1" t="s">
        <v>38</v>
      </c>
      <c r="L338" s="1">
        <v>38.181832735953797</v>
      </c>
      <c r="M338" s="1" t="s">
        <v>40</v>
      </c>
      <c r="N338" s="1"/>
    </row>
    <row r="339" spans="1:14" x14ac:dyDescent="0.45">
      <c r="A339" s="1" t="s">
        <v>49</v>
      </c>
      <c r="B339" s="1" t="s">
        <v>7</v>
      </c>
      <c r="C339" s="1" t="s">
        <v>7</v>
      </c>
      <c r="D339" s="1" t="s">
        <v>35</v>
      </c>
      <c r="E339" s="1" t="s">
        <v>36</v>
      </c>
      <c r="F339" s="1" t="s">
        <v>8</v>
      </c>
      <c r="G339" s="1" t="s">
        <v>9</v>
      </c>
      <c r="H339" s="1" t="s">
        <v>37</v>
      </c>
      <c r="I339" s="1" t="s">
        <v>37</v>
      </c>
      <c r="J339" s="1" t="s">
        <v>37</v>
      </c>
      <c r="K339" s="1" t="s">
        <v>38</v>
      </c>
      <c r="L339" s="1" t="s">
        <v>39</v>
      </c>
      <c r="M339" s="1" t="s">
        <v>40</v>
      </c>
      <c r="N339" s="1"/>
    </row>
    <row r="340" spans="1:14" x14ac:dyDescent="0.45">
      <c r="A340" s="1" t="s">
        <v>61</v>
      </c>
      <c r="B340" s="1" t="s">
        <v>7</v>
      </c>
      <c r="C340" s="1" t="s">
        <v>7</v>
      </c>
      <c r="D340" s="1" t="s">
        <v>35</v>
      </c>
      <c r="E340" s="1" t="s">
        <v>36</v>
      </c>
      <c r="F340" s="1" t="s">
        <v>8</v>
      </c>
      <c r="G340" s="1" t="s">
        <v>9</v>
      </c>
      <c r="H340" s="1" t="s">
        <v>37</v>
      </c>
      <c r="I340" s="1" t="s">
        <v>37</v>
      </c>
      <c r="J340" s="1" t="s">
        <v>37</v>
      </c>
      <c r="K340" s="1" t="s">
        <v>38</v>
      </c>
      <c r="L340" s="1" t="s">
        <v>39</v>
      </c>
      <c r="M340" s="1" t="s">
        <v>40</v>
      </c>
      <c r="N340" s="1"/>
    </row>
    <row r="341" spans="1:14" x14ac:dyDescent="0.45">
      <c r="A341" s="1" t="s">
        <v>73</v>
      </c>
      <c r="B341" s="1" t="s">
        <v>7</v>
      </c>
      <c r="C341" s="1" t="s">
        <v>7</v>
      </c>
      <c r="D341" s="1" t="s">
        <v>35</v>
      </c>
      <c r="E341" s="1" t="s">
        <v>36</v>
      </c>
      <c r="F341" s="1" t="s">
        <v>8</v>
      </c>
      <c r="G341" s="1" t="s">
        <v>9</v>
      </c>
      <c r="H341" s="1" t="s">
        <v>37</v>
      </c>
      <c r="I341" s="1" t="s">
        <v>37</v>
      </c>
      <c r="J341" s="1" t="s">
        <v>37</v>
      </c>
      <c r="K341" s="1" t="s">
        <v>38</v>
      </c>
      <c r="L341" s="1" t="s">
        <v>39</v>
      </c>
      <c r="M341" s="1" t="s">
        <v>40</v>
      </c>
      <c r="N341" s="1"/>
    </row>
    <row r="342" spans="1:14" x14ac:dyDescent="0.45">
      <c r="A342" s="1" t="s">
        <v>85</v>
      </c>
      <c r="B342" s="1" t="s">
        <v>11</v>
      </c>
      <c r="C342" s="1" t="s">
        <v>43</v>
      </c>
      <c r="D342" s="1" t="s">
        <v>35</v>
      </c>
      <c r="E342" s="1" t="s">
        <v>36</v>
      </c>
      <c r="F342" s="1" t="s">
        <v>8</v>
      </c>
      <c r="G342" s="1">
        <v>18.760000000000002</v>
      </c>
      <c r="H342" s="1" t="s">
        <v>42</v>
      </c>
      <c r="I342" s="1" t="s">
        <v>37</v>
      </c>
      <c r="J342" s="1" t="s">
        <v>37</v>
      </c>
      <c r="K342" s="1" t="s">
        <v>38</v>
      </c>
      <c r="L342" s="1">
        <v>18.761929031663101</v>
      </c>
      <c r="M342" s="1" t="s">
        <v>40</v>
      </c>
      <c r="N342" s="1"/>
    </row>
    <row r="343" spans="1:14" x14ac:dyDescent="0.45">
      <c r="A343" s="1" t="s">
        <v>97</v>
      </c>
      <c r="B343" s="1" t="s">
        <v>11</v>
      </c>
      <c r="C343" s="1" t="s">
        <v>43</v>
      </c>
      <c r="D343" s="1" t="s">
        <v>35</v>
      </c>
      <c r="E343" s="1" t="s">
        <v>36</v>
      </c>
      <c r="F343" s="1" t="s">
        <v>8</v>
      </c>
      <c r="G343" s="1">
        <v>18.559999999999999</v>
      </c>
      <c r="H343" s="1" t="s">
        <v>42</v>
      </c>
      <c r="I343" s="1" t="s">
        <v>37</v>
      </c>
      <c r="J343" s="1" t="s">
        <v>37</v>
      </c>
      <c r="K343" s="1" t="s">
        <v>38</v>
      </c>
      <c r="L343" s="1">
        <v>18.559317419836098</v>
      </c>
      <c r="M343" s="1" t="s">
        <v>40</v>
      </c>
      <c r="N343" s="1"/>
    </row>
    <row r="344" spans="1:14" x14ac:dyDescent="0.45">
      <c r="A344" s="1" t="s">
        <v>109</v>
      </c>
      <c r="B344" s="1" t="s">
        <v>11</v>
      </c>
      <c r="C344" s="1" t="s">
        <v>43</v>
      </c>
      <c r="D344" s="1" t="s">
        <v>35</v>
      </c>
      <c r="E344" s="1" t="s">
        <v>36</v>
      </c>
      <c r="F344" s="1" t="s">
        <v>8</v>
      </c>
      <c r="G344" s="1">
        <v>18.760000000000002</v>
      </c>
      <c r="H344" s="1" t="s">
        <v>42</v>
      </c>
      <c r="I344" s="1" t="s">
        <v>37</v>
      </c>
      <c r="J344" s="1" t="s">
        <v>37</v>
      </c>
      <c r="K344" s="1" t="s">
        <v>38</v>
      </c>
      <c r="L344" s="1">
        <v>18.761986976128401</v>
      </c>
      <c r="M344" s="1" t="s">
        <v>40</v>
      </c>
      <c r="N344" s="1"/>
    </row>
    <row r="345" spans="1:14" x14ac:dyDescent="0.45">
      <c r="A345" s="1" t="s">
        <v>50</v>
      </c>
      <c r="B345" s="1" t="s">
        <v>11</v>
      </c>
      <c r="C345" s="1" t="s">
        <v>41</v>
      </c>
      <c r="D345" s="1" t="s">
        <v>35</v>
      </c>
      <c r="E345" s="1" t="s">
        <v>36</v>
      </c>
      <c r="F345" s="1" t="s">
        <v>8</v>
      </c>
      <c r="G345" s="1">
        <v>37.950000000000003</v>
      </c>
      <c r="H345" s="1" t="s">
        <v>42</v>
      </c>
      <c r="I345" s="1" t="s">
        <v>37</v>
      </c>
      <c r="J345" s="1" t="s">
        <v>37</v>
      </c>
      <c r="K345" s="1" t="s">
        <v>38</v>
      </c>
      <c r="L345" s="1">
        <v>37.949039411618699</v>
      </c>
      <c r="M345" s="1" t="s">
        <v>40</v>
      </c>
      <c r="N345" s="1"/>
    </row>
    <row r="346" spans="1:14" x14ac:dyDescent="0.45">
      <c r="A346" s="1" t="s">
        <v>121</v>
      </c>
      <c r="B346" s="1" t="s">
        <v>11</v>
      </c>
      <c r="C346" s="1" t="s">
        <v>41</v>
      </c>
      <c r="D346" s="1" t="s">
        <v>35</v>
      </c>
      <c r="E346" s="1" t="s">
        <v>36</v>
      </c>
      <c r="F346" s="1" t="s">
        <v>8</v>
      </c>
      <c r="G346" s="1">
        <v>37.799999999999997</v>
      </c>
      <c r="H346" s="1" t="s">
        <v>42</v>
      </c>
      <c r="I346" s="1" t="s">
        <v>37</v>
      </c>
      <c r="J346" s="1" t="s">
        <v>37</v>
      </c>
      <c r="K346" s="1" t="s">
        <v>38</v>
      </c>
      <c r="L346" s="1">
        <v>37.796160193288401</v>
      </c>
      <c r="M346" s="1" t="s">
        <v>40</v>
      </c>
      <c r="N346" s="1"/>
    </row>
    <row r="347" spans="1:14" x14ac:dyDescent="0.45">
      <c r="A347" s="1" t="s">
        <v>133</v>
      </c>
      <c r="B347" s="1" t="s">
        <v>11</v>
      </c>
      <c r="C347" s="1" t="s">
        <v>41</v>
      </c>
      <c r="D347" s="1" t="s">
        <v>35</v>
      </c>
      <c r="E347" s="1" t="s">
        <v>36</v>
      </c>
      <c r="F347" s="1" t="s">
        <v>8</v>
      </c>
      <c r="G347" s="1" t="s">
        <v>9</v>
      </c>
      <c r="H347" s="1" t="s">
        <v>147</v>
      </c>
      <c r="I347" s="1" t="s">
        <v>37</v>
      </c>
      <c r="J347" s="1" t="s">
        <v>37</v>
      </c>
      <c r="K347" s="1" t="s">
        <v>38</v>
      </c>
      <c r="L347" s="1" t="s">
        <v>39</v>
      </c>
      <c r="M347" s="1" t="s">
        <v>40</v>
      </c>
      <c r="N347" s="1"/>
    </row>
    <row r="349" spans="1:14" x14ac:dyDescent="0.45">
      <c r="A349" t="s">
        <v>148</v>
      </c>
      <c r="B349" t="s">
        <v>149</v>
      </c>
      <c r="C349" s="2">
        <v>45763</v>
      </c>
    </row>
    <row r="350" spans="1:14" x14ac:dyDescent="0.45">
      <c r="A350" s="1" t="s">
        <v>48</v>
      </c>
      <c r="B350" s="1" t="s">
        <v>0</v>
      </c>
      <c r="C350" s="1" t="s">
        <v>1</v>
      </c>
      <c r="D350" s="1" t="s">
        <v>25</v>
      </c>
      <c r="E350" s="1" t="s">
        <v>26</v>
      </c>
      <c r="F350" s="1" t="s">
        <v>27</v>
      </c>
      <c r="G350" s="1" t="s">
        <v>2</v>
      </c>
      <c r="H350" s="1" t="s">
        <v>30</v>
      </c>
      <c r="I350" s="1" t="s">
        <v>31</v>
      </c>
      <c r="J350" s="1" t="s">
        <v>32</v>
      </c>
      <c r="K350" s="1" t="s">
        <v>33</v>
      </c>
      <c r="L350" s="1" t="s">
        <v>34</v>
      </c>
    </row>
    <row r="351" spans="1:14" x14ac:dyDescent="0.45">
      <c r="A351" s="1" t="s">
        <v>62</v>
      </c>
      <c r="B351" s="1" t="s">
        <v>15</v>
      </c>
      <c r="C351" s="1">
        <v>1</v>
      </c>
      <c r="D351" s="1" t="s">
        <v>35</v>
      </c>
      <c r="E351" s="1" t="s">
        <v>36</v>
      </c>
      <c r="F351" s="1" t="s">
        <v>8</v>
      </c>
      <c r="G351" s="1" t="s">
        <v>9</v>
      </c>
      <c r="H351" s="1" t="s">
        <v>37</v>
      </c>
      <c r="I351" s="1" t="s">
        <v>37</v>
      </c>
      <c r="J351" s="1" t="s">
        <v>38</v>
      </c>
      <c r="K351" s="1" t="s">
        <v>39</v>
      </c>
      <c r="L351" s="1" t="s">
        <v>40</v>
      </c>
    </row>
    <row r="352" spans="1:14" x14ac:dyDescent="0.45">
      <c r="A352" s="1" t="s">
        <v>74</v>
      </c>
      <c r="B352" s="1" t="s">
        <v>15</v>
      </c>
      <c r="C352" s="1">
        <v>1</v>
      </c>
      <c r="D352" s="1" t="s">
        <v>35</v>
      </c>
      <c r="E352" s="1" t="s">
        <v>36</v>
      </c>
      <c r="F352" s="1" t="s">
        <v>8</v>
      </c>
      <c r="G352" s="1" t="s">
        <v>9</v>
      </c>
      <c r="H352" s="1" t="s">
        <v>37</v>
      </c>
      <c r="I352" s="1" t="s">
        <v>37</v>
      </c>
      <c r="J352" s="1" t="s">
        <v>38</v>
      </c>
      <c r="K352" s="1" t="s">
        <v>39</v>
      </c>
      <c r="L352" s="1" t="s">
        <v>40</v>
      </c>
    </row>
    <row r="353" spans="1:12" x14ac:dyDescent="0.45">
      <c r="A353" s="1" t="s">
        <v>86</v>
      </c>
      <c r="B353" s="1" t="s">
        <v>15</v>
      </c>
      <c r="C353" s="1">
        <v>1</v>
      </c>
      <c r="D353" s="1" t="s">
        <v>35</v>
      </c>
      <c r="E353" s="1" t="s">
        <v>36</v>
      </c>
      <c r="F353" s="1" t="s">
        <v>8</v>
      </c>
      <c r="G353" s="1" t="s">
        <v>9</v>
      </c>
      <c r="H353" s="1" t="s">
        <v>37</v>
      </c>
      <c r="I353" s="1" t="s">
        <v>37</v>
      </c>
      <c r="J353" s="1" t="s">
        <v>38</v>
      </c>
      <c r="K353" s="1" t="s">
        <v>39</v>
      </c>
      <c r="L353" s="1" t="s">
        <v>40</v>
      </c>
    </row>
    <row r="354" spans="1:12" x14ac:dyDescent="0.45">
      <c r="A354" s="1" t="s">
        <v>98</v>
      </c>
      <c r="B354" s="1" t="s">
        <v>15</v>
      </c>
      <c r="C354" s="1">
        <v>2</v>
      </c>
      <c r="D354" s="1" t="s">
        <v>35</v>
      </c>
      <c r="E354" s="1" t="s">
        <v>36</v>
      </c>
      <c r="F354" s="1" t="s">
        <v>8</v>
      </c>
      <c r="G354" s="1" t="s">
        <v>9</v>
      </c>
      <c r="H354" s="1" t="s">
        <v>37</v>
      </c>
      <c r="I354" s="1" t="s">
        <v>37</v>
      </c>
      <c r="J354" s="1" t="s">
        <v>38</v>
      </c>
      <c r="K354" s="1" t="s">
        <v>39</v>
      </c>
      <c r="L354" s="1" t="s">
        <v>40</v>
      </c>
    </row>
    <row r="355" spans="1:12" x14ac:dyDescent="0.45">
      <c r="A355" s="1" t="s">
        <v>110</v>
      </c>
      <c r="B355" s="1" t="s">
        <v>15</v>
      </c>
      <c r="C355" s="1">
        <v>2</v>
      </c>
      <c r="D355" s="1" t="s">
        <v>35</v>
      </c>
      <c r="E355" s="1" t="s">
        <v>36</v>
      </c>
      <c r="F355" s="1" t="s">
        <v>8</v>
      </c>
      <c r="G355" s="1" t="s">
        <v>9</v>
      </c>
      <c r="H355" s="1" t="s">
        <v>37</v>
      </c>
      <c r="I355" s="1" t="s">
        <v>37</v>
      </c>
      <c r="J355" s="1" t="s">
        <v>38</v>
      </c>
      <c r="K355" s="1" t="s">
        <v>39</v>
      </c>
      <c r="L355" s="1" t="s">
        <v>40</v>
      </c>
    </row>
    <row r="356" spans="1:12" x14ac:dyDescent="0.45">
      <c r="A356" s="1" t="s">
        <v>122</v>
      </c>
      <c r="B356" s="1" t="s">
        <v>15</v>
      </c>
      <c r="C356" s="1">
        <v>2</v>
      </c>
      <c r="D356" s="1" t="s">
        <v>35</v>
      </c>
      <c r="E356" s="1" t="s">
        <v>36</v>
      </c>
      <c r="F356" s="1" t="s">
        <v>8</v>
      </c>
      <c r="G356" s="1">
        <v>37.729999999999997</v>
      </c>
      <c r="H356" s="1" t="s">
        <v>37</v>
      </c>
      <c r="I356" s="1" t="s">
        <v>37</v>
      </c>
      <c r="J356" s="1" t="s">
        <v>38</v>
      </c>
      <c r="K356" s="1">
        <v>37.729706081340701</v>
      </c>
      <c r="L356" s="1" t="s">
        <v>40</v>
      </c>
    </row>
    <row r="357" spans="1:12" x14ac:dyDescent="0.45">
      <c r="A357" s="1" t="s">
        <v>51</v>
      </c>
      <c r="B357" s="1" t="s">
        <v>15</v>
      </c>
      <c r="C357" s="1">
        <v>3</v>
      </c>
      <c r="D357" s="1" t="s">
        <v>35</v>
      </c>
      <c r="E357" s="1" t="s">
        <v>36</v>
      </c>
      <c r="F357" s="1" t="s">
        <v>8</v>
      </c>
      <c r="G357" s="1" t="s">
        <v>9</v>
      </c>
      <c r="H357" s="1" t="s">
        <v>37</v>
      </c>
      <c r="I357" s="1" t="s">
        <v>37</v>
      </c>
      <c r="J357" s="1" t="s">
        <v>38</v>
      </c>
      <c r="K357" s="1" t="s">
        <v>39</v>
      </c>
      <c r="L357" s="1" t="s">
        <v>40</v>
      </c>
    </row>
    <row r="358" spans="1:12" x14ac:dyDescent="0.45">
      <c r="A358" s="1" t="s">
        <v>63</v>
      </c>
      <c r="B358" s="1" t="s">
        <v>15</v>
      </c>
      <c r="C358" s="1">
        <v>3</v>
      </c>
      <c r="D358" s="1" t="s">
        <v>35</v>
      </c>
      <c r="E358" s="1" t="s">
        <v>36</v>
      </c>
      <c r="F358" s="1" t="s">
        <v>8</v>
      </c>
      <c r="G358" s="1" t="s">
        <v>9</v>
      </c>
      <c r="H358" s="1" t="s">
        <v>37</v>
      </c>
      <c r="I358" s="1" t="s">
        <v>37</v>
      </c>
      <c r="J358" s="1" t="s">
        <v>38</v>
      </c>
      <c r="K358" s="1" t="s">
        <v>39</v>
      </c>
      <c r="L358" s="1" t="s">
        <v>40</v>
      </c>
    </row>
    <row r="359" spans="1:12" x14ac:dyDescent="0.45">
      <c r="A359" s="1" t="s">
        <v>134</v>
      </c>
      <c r="B359" s="1" t="s">
        <v>15</v>
      </c>
      <c r="C359" s="1">
        <v>3</v>
      </c>
      <c r="D359" s="1" t="s">
        <v>35</v>
      </c>
      <c r="E359" s="1" t="s">
        <v>36</v>
      </c>
      <c r="F359" s="1" t="s">
        <v>8</v>
      </c>
      <c r="G359" s="1" t="s">
        <v>9</v>
      </c>
      <c r="H359" s="1" t="s">
        <v>37</v>
      </c>
      <c r="I359" s="1" t="s">
        <v>37</v>
      </c>
      <c r="J359" s="1" t="s">
        <v>38</v>
      </c>
      <c r="K359" s="1" t="s">
        <v>39</v>
      </c>
      <c r="L359" s="1" t="s">
        <v>40</v>
      </c>
    </row>
    <row r="360" spans="1:12" x14ac:dyDescent="0.45">
      <c r="A360" s="1" t="s">
        <v>75</v>
      </c>
      <c r="B360" s="1" t="s">
        <v>15</v>
      </c>
      <c r="C360" s="1">
        <v>4</v>
      </c>
      <c r="D360" s="1" t="s">
        <v>35</v>
      </c>
      <c r="E360" s="1" t="s">
        <v>36</v>
      </c>
      <c r="F360" s="1" t="s">
        <v>8</v>
      </c>
      <c r="G360" s="1" t="s">
        <v>9</v>
      </c>
      <c r="H360" s="1" t="s">
        <v>37</v>
      </c>
      <c r="I360" s="1" t="s">
        <v>37</v>
      </c>
      <c r="J360" s="1" t="s">
        <v>38</v>
      </c>
      <c r="K360" s="1" t="s">
        <v>39</v>
      </c>
      <c r="L360" s="1" t="s">
        <v>40</v>
      </c>
    </row>
    <row r="361" spans="1:12" x14ac:dyDescent="0.45">
      <c r="A361" s="1" t="s">
        <v>87</v>
      </c>
      <c r="B361" s="1" t="s">
        <v>15</v>
      </c>
      <c r="C361" s="1">
        <v>4</v>
      </c>
      <c r="D361" s="1" t="s">
        <v>35</v>
      </c>
      <c r="E361" s="1" t="s">
        <v>36</v>
      </c>
      <c r="F361" s="1" t="s">
        <v>8</v>
      </c>
      <c r="G361" s="1" t="s">
        <v>9</v>
      </c>
      <c r="H361" s="1" t="s">
        <v>37</v>
      </c>
      <c r="I361" s="1" t="s">
        <v>37</v>
      </c>
      <c r="J361" s="1" t="s">
        <v>38</v>
      </c>
      <c r="K361" s="1" t="s">
        <v>39</v>
      </c>
      <c r="L361" s="1" t="s">
        <v>40</v>
      </c>
    </row>
    <row r="362" spans="1:12" x14ac:dyDescent="0.45">
      <c r="A362" s="1" t="s">
        <v>99</v>
      </c>
      <c r="B362" s="1" t="s">
        <v>15</v>
      </c>
      <c r="C362" s="1">
        <v>4</v>
      </c>
      <c r="D362" s="1" t="s">
        <v>35</v>
      </c>
      <c r="E362" s="1" t="s">
        <v>36</v>
      </c>
      <c r="F362" s="1" t="s">
        <v>8</v>
      </c>
      <c r="G362" s="1">
        <v>37.56</v>
      </c>
      <c r="H362" s="1" t="s">
        <v>37</v>
      </c>
      <c r="I362" s="1" t="s">
        <v>37</v>
      </c>
      <c r="J362" s="1" t="s">
        <v>38</v>
      </c>
      <c r="K362" s="1">
        <v>37.556119444986997</v>
      </c>
      <c r="L362" s="1" t="s">
        <v>40</v>
      </c>
    </row>
    <row r="363" spans="1:12" x14ac:dyDescent="0.45">
      <c r="A363" s="1" t="s">
        <v>111</v>
      </c>
      <c r="B363" s="1" t="s">
        <v>15</v>
      </c>
      <c r="C363" s="1">
        <v>5</v>
      </c>
      <c r="D363" s="1" t="s">
        <v>35</v>
      </c>
      <c r="E363" s="1" t="s">
        <v>36</v>
      </c>
      <c r="F363" s="1" t="s">
        <v>8</v>
      </c>
      <c r="G363" s="1" t="s">
        <v>9</v>
      </c>
      <c r="H363" s="1" t="s">
        <v>37</v>
      </c>
      <c r="I363" s="1" t="s">
        <v>37</v>
      </c>
      <c r="J363" s="1" t="s">
        <v>38</v>
      </c>
      <c r="K363" s="1" t="s">
        <v>39</v>
      </c>
      <c r="L363" s="1" t="s">
        <v>40</v>
      </c>
    </row>
    <row r="364" spans="1:12" x14ac:dyDescent="0.45">
      <c r="A364" s="1" t="s">
        <v>123</v>
      </c>
      <c r="B364" s="1" t="s">
        <v>15</v>
      </c>
      <c r="C364" s="1">
        <v>5</v>
      </c>
      <c r="D364" s="1" t="s">
        <v>35</v>
      </c>
      <c r="E364" s="1" t="s">
        <v>36</v>
      </c>
      <c r="F364" s="1" t="s">
        <v>8</v>
      </c>
      <c r="G364" s="1">
        <v>36.659999999999997</v>
      </c>
      <c r="H364" s="1" t="s">
        <v>37</v>
      </c>
      <c r="I364" s="1" t="s">
        <v>37</v>
      </c>
      <c r="J364" s="1" t="s">
        <v>38</v>
      </c>
      <c r="K364" s="1">
        <v>36.657880487085897</v>
      </c>
      <c r="L364" s="1" t="s">
        <v>40</v>
      </c>
    </row>
    <row r="365" spans="1:12" x14ac:dyDescent="0.45">
      <c r="A365" s="1" t="s">
        <v>135</v>
      </c>
      <c r="B365" s="1" t="s">
        <v>15</v>
      </c>
      <c r="C365" s="1">
        <v>5</v>
      </c>
      <c r="D365" s="1" t="s">
        <v>35</v>
      </c>
      <c r="E365" s="1" t="s">
        <v>36</v>
      </c>
      <c r="F365" s="1" t="s">
        <v>8</v>
      </c>
      <c r="G365" s="1">
        <v>39.49</v>
      </c>
      <c r="H365" s="1" t="s">
        <v>37</v>
      </c>
      <c r="I365" s="1" t="s">
        <v>37</v>
      </c>
      <c r="J365" s="1" t="s">
        <v>38</v>
      </c>
      <c r="K365" s="1">
        <v>39.4877448100859</v>
      </c>
      <c r="L365" s="1" t="s">
        <v>40</v>
      </c>
    </row>
    <row r="366" spans="1:12" x14ac:dyDescent="0.45">
      <c r="A366" s="1" t="s">
        <v>52</v>
      </c>
      <c r="B366" s="1" t="s">
        <v>15</v>
      </c>
      <c r="C366" s="1">
        <v>6</v>
      </c>
      <c r="D366" s="1" t="s">
        <v>35</v>
      </c>
      <c r="E366" s="1" t="s">
        <v>36</v>
      </c>
      <c r="F366" s="1" t="s">
        <v>8</v>
      </c>
      <c r="G366" s="1" t="s">
        <v>9</v>
      </c>
      <c r="H366" s="1" t="s">
        <v>37</v>
      </c>
      <c r="I366" s="1" t="s">
        <v>37</v>
      </c>
      <c r="J366" s="1" t="s">
        <v>38</v>
      </c>
      <c r="K366" s="1" t="s">
        <v>39</v>
      </c>
      <c r="L366" s="1" t="s">
        <v>40</v>
      </c>
    </row>
    <row r="367" spans="1:12" x14ac:dyDescent="0.45">
      <c r="A367" s="1" t="s">
        <v>64</v>
      </c>
      <c r="B367" s="1" t="s">
        <v>15</v>
      </c>
      <c r="C367" s="1">
        <v>6</v>
      </c>
      <c r="D367" s="1" t="s">
        <v>35</v>
      </c>
      <c r="E367" s="1" t="s">
        <v>36</v>
      </c>
      <c r="F367" s="1" t="s">
        <v>8</v>
      </c>
      <c r="G367" s="1" t="s">
        <v>9</v>
      </c>
      <c r="H367" s="1" t="s">
        <v>37</v>
      </c>
      <c r="I367" s="1" t="s">
        <v>37</v>
      </c>
      <c r="J367" s="1" t="s">
        <v>38</v>
      </c>
      <c r="K367" s="1" t="s">
        <v>39</v>
      </c>
      <c r="L367" s="1" t="s">
        <v>40</v>
      </c>
    </row>
    <row r="368" spans="1:12" x14ac:dyDescent="0.45">
      <c r="A368" s="1" t="s">
        <v>76</v>
      </c>
      <c r="B368" s="1" t="s">
        <v>15</v>
      </c>
      <c r="C368" s="1">
        <v>6</v>
      </c>
      <c r="D368" s="1" t="s">
        <v>35</v>
      </c>
      <c r="E368" s="1" t="s">
        <v>36</v>
      </c>
      <c r="F368" s="1" t="s">
        <v>8</v>
      </c>
      <c r="G368" s="1" t="s">
        <v>9</v>
      </c>
      <c r="H368" s="1" t="s">
        <v>37</v>
      </c>
      <c r="I368" s="1" t="s">
        <v>37</v>
      </c>
      <c r="J368" s="1" t="s">
        <v>38</v>
      </c>
      <c r="K368" s="1" t="s">
        <v>39</v>
      </c>
      <c r="L368" s="1" t="s">
        <v>40</v>
      </c>
    </row>
    <row r="369" spans="1:12" x14ac:dyDescent="0.45">
      <c r="A369" s="1" t="s">
        <v>88</v>
      </c>
      <c r="B369" s="1" t="s">
        <v>15</v>
      </c>
      <c r="C369" s="1">
        <v>7</v>
      </c>
      <c r="D369" s="1" t="s">
        <v>35</v>
      </c>
      <c r="E369" s="1" t="s">
        <v>36</v>
      </c>
      <c r="F369" s="1" t="s">
        <v>8</v>
      </c>
      <c r="G369" s="1">
        <v>37.56</v>
      </c>
      <c r="H369" s="1" t="s">
        <v>37</v>
      </c>
      <c r="I369" s="1" t="s">
        <v>37</v>
      </c>
      <c r="J369" s="1" t="s">
        <v>38</v>
      </c>
      <c r="K369" s="1">
        <v>37.557306857091802</v>
      </c>
      <c r="L369" s="1" t="s">
        <v>40</v>
      </c>
    </row>
    <row r="370" spans="1:12" x14ac:dyDescent="0.45">
      <c r="A370" s="1" t="s">
        <v>100</v>
      </c>
      <c r="B370" s="1" t="s">
        <v>15</v>
      </c>
      <c r="C370" s="1">
        <v>7</v>
      </c>
      <c r="D370" s="1" t="s">
        <v>35</v>
      </c>
      <c r="E370" s="1" t="s">
        <v>36</v>
      </c>
      <c r="F370" s="1" t="s">
        <v>8</v>
      </c>
      <c r="G370" s="1">
        <v>36.15</v>
      </c>
      <c r="H370" s="1" t="s">
        <v>37</v>
      </c>
      <c r="I370" s="1" t="s">
        <v>37</v>
      </c>
      <c r="J370" s="1" t="s">
        <v>38</v>
      </c>
      <c r="K370" s="1">
        <v>36.145190101746998</v>
      </c>
      <c r="L370" s="1" t="s">
        <v>40</v>
      </c>
    </row>
    <row r="371" spans="1:12" x14ac:dyDescent="0.45">
      <c r="A371" s="1" t="s">
        <v>112</v>
      </c>
      <c r="B371" s="1" t="s">
        <v>15</v>
      </c>
      <c r="C371" s="1">
        <v>7</v>
      </c>
      <c r="D371" s="1" t="s">
        <v>35</v>
      </c>
      <c r="E371" s="1" t="s">
        <v>36</v>
      </c>
      <c r="F371" s="1" t="s">
        <v>8</v>
      </c>
      <c r="G371" s="1">
        <v>37.590000000000003</v>
      </c>
      <c r="H371" s="1" t="s">
        <v>37</v>
      </c>
      <c r="I371" s="1" t="s">
        <v>37</v>
      </c>
      <c r="J371" s="1" t="s">
        <v>38</v>
      </c>
      <c r="K371" s="1">
        <v>37.589739467795198</v>
      </c>
      <c r="L371" s="1" t="s">
        <v>40</v>
      </c>
    </row>
    <row r="372" spans="1:12" x14ac:dyDescent="0.45">
      <c r="A372" s="1" t="s">
        <v>53</v>
      </c>
      <c r="B372" s="1" t="s">
        <v>15</v>
      </c>
      <c r="C372" s="1">
        <v>8</v>
      </c>
      <c r="D372" s="1" t="s">
        <v>35</v>
      </c>
      <c r="E372" s="1" t="s">
        <v>36</v>
      </c>
      <c r="F372" s="1" t="s">
        <v>8</v>
      </c>
      <c r="G372" s="1">
        <v>37.799999999999997</v>
      </c>
      <c r="H372" s="1" t="s">
        <v>37</v>
      </c>
      <c r="I372" s="1" t="s">
        <v>37</v>
      </c>
      <c r="J372" s="1" t="s">
        <v>38</v>
      </c>
      <c r="K372" s="1">
        <v>37.798771373589197</v>
      </c>
      <c r="L372" s="1" t="s">
        <v>40</v>
      </c>
    </row>
    <row r="373" spans="1:12" x14ac:dyDescent="0.45">
      <c r="A373" s="1" t="s">
        <v>124</v>
      </c>
      <c r="B373" s="1" t="s">
        <v>15</v>
      </c>
      <c r="C373" s="1">
        <v>8</v>
      </c>
      <c r="D373" s="1" t="s">
        <v>35</v>
      </c>
      <c r="E373" s="1" t="s">
        <v>36</v>
      </c>
      <c r="F373" s="1" t="s">
        <v>8</v>
      </c>
      <c r="G373" s="1" t="s">
        <v>9</v>
      </c>
      <c r="H373" s="1" t="s">
        <v>37</v>
      </c>
      <c r="I373" s="1" t="s">
        <v>37</v>
      </c>
      <c r="J373" s="1" t="s">
        <v>38</v>
      </c>
      <c r="K373" s="1" t="s">
        <v>39</v>
      </c>
      <c r="L373" s="1" t="s">
        <v>40</v>
      </c>
    </row>
    <row r="374" spans="1:12" x14ac:dyDescent="0.45">
      <c r="A374" s="1" t="s">
        <v>136</v>
      </c>
      <c r="B374" s="1" t="s">
        <v>15</v>
      </c>
      <c r="C374" s="1">
        <v>8</v>
      </c>
      <c r="D374" s="1" t="s">
        <v>35</v>
      </c>
      <c r="E374" s="1" t="s">
        <v>36</v>
      </c>
      <c r="F374" s="1" t="s">
        <v>8</v>
      </c>
      <c r="G374" s="1" t="s">
        <v>9</v>
      </c>
      <c r="H374" s="1" t="s">
        <v>37</v>
      </c>
      <c r="I374" s="1" t="s">
        <v>37</v>
      </c>
      <c r="J374" s="1" t="s">
        <v>38</v>
      </c>
      <c r="K374" s="1" t="s">
        <v>39</v>
      </c>
      <c r="L374" s="1" t="s">
        <v>40</v>
      </c>
    </row>
    <row r="375" spans="1:12" x14ac:dyDescent="0.45">
      <c r="A375" s="1" t="s">
        <v>65</v>
      </c>
      <c r="B375" s="1" t="s">
        <v>15</v>
      </c>
      <c r="C375" s="1">
        <v>9</v>
      </c>
      <c r="D375" s="1" t="s">
        <v>35</v>
      </c>
      <c r="E375" s="1" t="s">
        <v>36</v>
      </c>
      <c r="F375" s="1" t="s">
        <v>8</v>
      </c>
      <c r="G375" s="1">
        <v>37.700000000000003</v>
      </c>
      <c r="H375" s="1" t="s">
        <v>37</v>
      </c>
      <c r="I375" s="1" t="s">
        <v>37</v>
      </c>
      <c r="J375" s="1" t="s">
        <v>38</v>
      </c>
      <c r="K375" s="1">
        <v>37.704993670111698</v>
      </c>
      <c r="L375" s="1" t="s">
        <v>40</v>
      </c>
    </row>
    <row r="376" spans="1:12" x14ac:dyDescent="0.45">
      <c r="A376" s="1" t="s">
        <v>77</v>
      </c>
      <c r="B376" s="1" t="s">
        <v>15</v>
      </c>
      <c r="C376" s="1">
        <v>9</v>
      </c>
      <c r="D376" s="1" t="s">
        <v>35</v>
      </c>
      <c r="E376" s="1" t="s">
        <v>36</v>
      </c>
      <c r="F376" s="1" t="s">
        <v>8</v>
      </c>
      <c r="G376" s="1" t="s">
        <v>9</v>
      </c>
      <c r="H376" s="1" t="s">
        <v>37</v>
      </c>
      <c r="I376" s="1" t="s">
        <v>37</v>
      </c>
      <c r="J376" s="1" t="s">
        <v>38</v>
      </c>
      <c r="K376" s="1" t="s">
        <v>39</v>
      </c>
      <c r="L376" s="1" t="s">
        <v>40</v>
      </c>
    </row>
    <row r="377" spans="1:12" x14ac:dyDescent="0.45">
      <c r="A377" s="1" t="s">
        <v>89</v>
      </c>
      <c r="B377" s="1" t="s">
        <v>15</v>
      </c>
      <c r="C377" s="1">
        <v>9</v>
      </c>
      <c r="D377" s="1" t="s">
        <v>35</v>
      </c>
      <c r="E377" s="1" t="s">
        <v>36</v>
      </c>
      <c r="F377" s="1" t="s">
        <v>8</v>
      </c>
      <c r="G377" s="1" t="s">
        <v>9</v>
      </c>
      <c r="H377" s="1" t="s">
        <v>37</v>
      </c>
      <c r="I377" s="1" t="s">
        <v>37</v>
      </c>
      <c r="J377" s="1" t="s">
        <v>38</v>
      </c>
      <c r="K377" s="1" t="s">
        <v>39</v>
      </c>
      <c r="L377" s="1" t="s">
        <v>40</v>
      </c>
    </row>
    <row r="378" spans="1:12" x14ac:dyDescent="0.45">
      <c r="A378" s="1" t="s">
        <v>101</v>
      </c>
      <c r="B378" s="1" t="s">
        <v>15</v>
      </c>
      <c r="C378" s="1">
        <v>10</v>
      </c>
      <c r="D378" s="1" t="s">
        <v>35</v>
      </c>
      <c r="E378" s="1" t="s">
        <v>36</v>
      </c>
      <c r="F378" s="1" t="s">
        <v>8</v>
      </c>
      <c r="G378" s="1">
        <v>39.53</v>
      </c>
      <c r="H378" s="1" t="s">
        <v>37</v>
      </c>
      <c r="I378" s="1" t="s">
        <v>37</v>
      </c>
      <c r="J378" s="1" t="s">
        <v>38</v>
      </c>
      <c r="K378" s="1">
        <v>39.532351580931802</v>
      </c>
      <c r="L378" s="1" t="s">
        <v>40</v>
      </c>
    </row>
    <row r="379" spans="1:12" x14ac:dyDescent="0.45">
      <c r="A379" s="1" t="s">
        <v>113</v>
      </c>
      <c r="B379" s="1" t="s">
        <v>15</v>
      </c>
      <c r="C379" s="1">
        <v>10</v>
      </c>
      <c r="D379" s="1" t="s">
        <v>35</v>
      </c>
      <c r="E379" s="1" t="s">
        <v>36</v>
      </c>
      <c r="F379" s="1" t="s">
        <v>8</v>
      </c>
      <c r="G379" s="1" t="s">
        <v>9</v>
      </c>
      <c r="H379" s="1" t="s">
        <v>37</v>
      </c>
      <c r="I379" s="1" t="s">
        <v>37</v>
      </c>
      <c r="J379" s="1" t="s">
        <v>38</v>
      </c>
      <c r="K379" s="1" t="s">
        <v>39</v>
      </c>
      <c r="L379" s="1" t="s">
        <v>40</v>
      </c>
    </row>
    <row r="380" spans="1:12" x14ac:dyDescent="0.45">
      <c r="A380" s="1" t="s">
        <v>125</v>
      </c>
      <c r="B380" s="1" t="s">
        <v>15</v>
      </c>
      <c r="C380" s="1">
        <v>10</v>
      </c>
      <c r="D380" s="1" t="s">
        <v>35</v>
      </c>
      <c r="E380" s="1" t="s">
        <v>36</v>
      </c>
      <c r="F380" s="1" t="s">
        <v>8</v>
      </c>
      <c r="G380" s="1">
        <v>37.99</v>
      </c>
      <c r="H380" s="1" t="s">
        <v>37</v>
      </c>
      <c r="I380" s="1" t="s">
        <v>37</v>
      </c>
      <c r="J380" s="1" t="s">
        <v>38</v>
      </c>
      <c r="K380" s="1">
        <v>37.987130062225802</v>
      </c>
      <c r="L380" s="1" t="s">
        <v>40</v>
      </c>
    </row>
    <row r="381" spans="1:12" x14ac:dyDescent="0.45">
      <c r="A381" s="1" t="s">
        <v>54</v>
      </c>
      <c r="B381" s="1" t="s">
        <v>15</v>
      </c>
      <c r="C381" s="1">
        <v>11</v>
      </c>
      <c r="D381" s="1" t="s">
        <v>35</v>
      </c>
      <c r="E381" s="1" t="s">
        <v>36</v>
      </c>
      <c r="F381" s="1" t="s">
        <v>8</v>
      </c>
      <c r="G381" s="1">
        <v>39.25</v>
      </c>
      <c r="H381" s="1" t="s">
        <v>37</v>
      </c>
      <c r="I381" s="1" t="s">
        <v>37</v>
      </c>
      <c r="J381" s="1" t="s">
        <v>38</v>
      </c>
      <c r="K381" s="1">
        <v>39.245453702830801</v>
      </c>
      <c r="L381" s="1" t="s">
        <v>40</v>
      </c>
    </row>
    <row r="382" spans="1:12" x14ac:dyDescent="0.45">
      <c r="A382" s="1" t="s">
        <v>66</v>
      </c>
      <c r="B382" s="1" t="s">
        <v>15</v>
      </c>
      <c r="C382" s="1">
        <v>11</v>
      </c>
      <c r="D382" s="1" t="s">
        <v>35</v>
      </c>
      <c r="E382" s="1" t="s">
        <v>36</v>
      </c>
      <c r="F382" s="1" t="s">
        <v>8</v>
      </c>
      <c r="G382" s="1" t="s">
        <v>9</v>
      </c>
      <c r="H382" s="1" t="s">
        <v>37</v>
      </c>
      <c r="I382" s="1" t="s">
        <v>37</v>
      </c>
      <c r="J382" s="1" t="s">
        <v>38</v>
      </c>
      <c r="K382" s="1" t="s">
        <v>39</v>
      </c>
      <c r="L382" s="1" t="s">
        <v>40</v>
      </c>
    </row>
    <row r="383" spans="1:12" x14ac:dyDescent="0.45">
      <c r="A383" s="1" t="s">
        <v>137</v>
      </c>
      <c r="B383" s="1" t="s">
        <v>15</v>
      </c>
      <c r="C383" s="1">
        <v>11</v>
      </c>
      <c r="D383" s="1" t="s">
        <v>35</v>
      </c>
      <c r="E383" s="1" t="s">
        <v>36</v>
      </c>
      <c r="F383" s="1" t="s">
        <v>8</v>
      </c>
      <c r="G383" s="1">
        <v>38.18</v>
      </c>
      <c r="H383" s="1" t="s">
        <v>37</v>
      </c>
      <c r="I383" s="1" t="s">
        <v>37</v>
      </c>
      <c r="J383" s="1" t="s">
        <v>38</v>
      </c>
      <c r="K383" s="1">
        <v>38.184415040393198</v>
      </c>
      <c r="L383" s="1" t="s">
        <v>40</v>
      </c>
    </row>
    <row r="384" spans="1:12" x14ac:dyDescent="0.45">
      <c r="A384" s="1" t="s">
        <v>78</v>
      </c>
      <c r="B384" s="1" t="s">
        <v>15</v>
      </c>
      <c r="C384" s="1">
        <v>12</v>
      </c>
      <c r="D384" s="1" t="s">
        <v>35</v>
      </c>
      <c r="E384" s="1" t="s">
        <v>36</v>
      </c>
      <c r="F384" s="1" t="s">
        <v>8</v>
      </c>
      <c r="G384" s="1" t="s">
        <v>9</v>
      </c>
      <c r="H384" s="1" t="s">
        <v>37</v>
      </c>
      <c r="I384" s="1" t="s">
        <v>37</v>
      </c>
      <c r="J384" s="1" t="s">
        <v>38</v>
      </c>
      <c r="K384" s="1" t="s">
        <v>39</v>
      </c>
      <c r="L384" s="1" t="s">
        <v>40</v>
      </c>
    </row>
    <row r="385" spans="1:12" x14ac:dyDescent="0.45">
      <c r="A385" s="1" t="s">
        <v>90</v>
      </c>
      <c r="B385" s="1" t="s">
        <v>15</v>
      </c>
      <c r="C385" s="1">
        <v>12</v>
      </c>
      <c r="D385" s="1" t="s">
        <v>35</v>
      </c>
      <c r="E385" s="1" t="s">
        <v>36</v>
      </c>
      <c r="F385" s="1" t="s">
        <v>8</v>
      </c>
      <c r="G385" s="1" t="s">
        <v>9</v>
      </c>
      <c r="H385" s="1" t="s">
        <v>37</v>
      </c>
      <c r="I385" s="1" t="s">
        <v>37</v>
      </c>
      <c r="J385" s="1" t="s">
        <v>38</v>
      </c>
      <c r="K385" s="1" t="s">
        <v>39</v>
      </c>
      <c r="L385" s="1" t="s">
        <v>40</v>
      </c>
    </row>
    <row r="386" spans="1:12" x14ac:dyDescent="0.45">
      <c r="A386" s="1" t="s">
        <v>102</v>
      </c>
      <c r="B386" s="1" t="s">
        <v>15</v>
      </c>
      <c r="C386" s="1">
        <v>12</v>
      </c>
      <c r="D386" s="1" t="s">
        <v>35</v>
      </c>
      <c r="E386" s="1" t="s">
        <v>36</v>
      </c>
      <c r="F386" s="1" t="s">
        <v>8</v>
      </c>
      <c r="G386" s="1">
        <v>38.380000000000003</v>
      </c>
      <c r="H386" s="1" t="s">
        <v>37</v>
      </c>
      <c r="I386" s="1" t="s">
        <v>37</v>
      </c>
      <c r="J386" s="1" t="s">
        <v>38</v>
      </c>
      <c r="K386" s="1">
        <v>38.3772040374133</v>
      </c>
      <c r="L386" s="1" t="s">
        <v>40</v>
      </c>
    </row>
    <row r="387" spans="1:12" x14ac:dyDescent="0.45">
      <c r="A387" s="1" t="s">
        <v>114</v>
      </c>
      <c r="B387" s="1" t="s">
        <v>15</v>
      </c>
      <c r="C387" s="1">
        <v>13</v>
      </c>
      <c r="D387" s="1" t="s">
        <v>35</v>
      </c>
      <c r="E387" s="1" t="s">
        <v>36</v>
      </c>
      <c r="F387" s="1" t="s">
        <v>8</v>
      </c>
      <c r="G387" s="1">
        <v>35.82</v>
      </c>
      <c r="H387" s="1" t="s">
        <v>37</v>
      </c>
      <c r="I387" s="1" t="s">
        <v>37</v>
      </c>
      <c r="J387" s="1" t="s">
        <v>38</v>
      </c>
      <c r="K387" s="1">
        <v>35.823070747013901</v>
      </c>
      <c r="L387" s="1" t="s">
        <v>40</v>
      </c>
    </row>
    <row r="388" spans="1:12" x14ac:dyDescent="0.45">
      <c r="A388" s="1" t="s">
        <v>126</v>
      </c>
      <c r="B388" s="1" t="s">
        <v>15</v>
      </c>
      <c r="C388" s="1">
        <v>13</v>
      </c>
      <c r="D388" s="1" t="s">
        <v>35</v>
      </c>
      <c r="E388" s="1" t="s">
        <v>36</v>
      </c>
      <c r="F388" s="1" t="s">
        <v>8</v>
      </c>
      <c r="G388" s="1">
        <v>37.74</v>
      </c>
      <c r="H388" s="1" t="s">
        <v>37</v>
      </c>
      <c r="I388" s="1" t="s">
        <v>37</v>
      </c>
      <c r="J388" s="1" t="s">
        <v>38</v>
      </c>
      <c r="K388" s="1">
        <v>37.736880679241899</v>
      </c>
      <c r="L388" s="1" t="s">
        <v>40</v>
      </c>
    </row>
    <row r="389" spans="1:12" x14ac:dyDescent="0.45">
      <c r="A389" s="1" t="s">
        <v>138</v>
      </c>
      <c r="B389" s="1" t="s">
        <v>15</v>
      </c>
      <c r="C389" s="1">
        <v>13</v>
      </c>
      <c r="D389" s="1" t="s">
        <v>35</v>
      </c>
      <c r="E389" s="1" t="s">
        <v>36</v>
      </c>
      <c r="F389" s="1" t="s">
        <v>8</v>
      </c>
      <c r="G389" s="1">
        <v>36.96</v>
      </c>
      <c r="H389" s="1" t="s">
        <v>37</v>
      </c>
      <c r="I389" s="1" t="s">
        <v>37</v>
      </c>
      <c r="J389" s="1" t="s">
        <v>38</v>
      </c>
      <c r="K389" s="1">
        <v>36.956514376377399</v>
      </c>
      <c r="L389" s="1" t="s">
        <v>40</v>
      </c>
    </row>
    <row r="390" spans="1:12" x14ac:dyDescent="0.45">
      <c r="A390" s="1" t="s">
        <v>55</v>
      </c>
      <c r="B390" s="1" t="s">
        <v>15</v>
      </c>
      <c r="C390" s="1">
        <v>14</v>
      </c>
      <c r="D390" s="1" t="s">
        <v>35</v>
      </c>
      <c r="E390" s="1" t="s">
        <v>36</v>
      </c>
      <c r="F390" s="1" t="s">
        <v>8</v>
      </c>
      <c r="G390" s="1">
        <v>36.92</v>
      </c>
      <c r="H390" s="1" t="s">
        <v>37</v>
      </c>
      <c r="I390" s="1" t="s">
        <v>37</v>
      </c>
      <c r="J390" s="1" t="s">
        <v>38</v>
      </c>
      <c r="K390" s="1">
        <v>36.921814219108299</v>
      </c>
      <c r="L390" s="1" t="s">
        <v>40</v>
      </c>
    </row>
    <row r="391" spans="1:12" x14ac:dyDescent="0.45">
      <c r="A391" s="1" t="s">
        <v>67</v>
      </c>
      <c r="B391" s="1" t="s">
        <v>15</v>
      </c>
      <c r="C391" s="1">
        <v>14</v>
      </c>
      <c r="D391" s="1" t="s">
        <v>35</v>
      </c>
      <c r="E391" s="1" t="s">
        <v>36</v>
      </c>
      <c r="F391" s="1" t="s">
        <v>8</v>
      </c>
      <c r="G391" s="1">
        <v>35.85</v>
      </c>
      <c r="H391" s="1" t="s">
        <v>37</v>
      </c>
      <c r="I391" s="1" t="s">
        <v>37</v>
      </c>
      <c r="J391" s="1" t="s">
        <v>38</v>
      </c>
      <c r="K391" s="1">
        <v>35.852566450624899</v>
      </c>
      <c r="L391" s="1" t="s">
        <v>40</v>
      </c>
    </row>
    <row r="392" spans="1:12" x14ac:dyDescent="0.45">
      <c r="A392" s="1" t="s">
        <v>79</v>
      </c>
      <c r="B392" s="1" t="s">
        <v>15</v>
      </c>
      <c r="C392" s="1">
        <v>14</v>
      </c>
      <c r="D392" s="1" t="s">
        <v>35</v>
      </c>
      <c r="E392" s="1" t="s">
        <v>36</v>
      </c>
      <c r="F392" s="1" t="s">
        <v>8</v>
      </c>
      <c r="G392" s="1">
        <v>39.54</v>
      </c>
      <c r="H392" s="1" t="s">
        <v>37</v>
      </c>
      <c r="I392" s="1" t="s">
        <v>37</v>
      </c>
      <c r="J392" s="1" t="s">
        <v>38</v>
      </c>
      <c r="K392" s="1">
        <v>39.539214724638597</v>
      </c>
      <c r="L392" s="1" t="s">
        <v>40</v>
      </c>
    </row>
    <row r="393" spans="1:12" x14ac:dyDescent="0.45">
      <c r="A393" s="1" t="s">
        <v>91</v>
      </c>
      <c r="B393" s="1" t="s">
        <v>15</v>
      </c>
      <c r="C393" s="1">
        <v>15</v>
      </c>
      <c r="D393" s="1" t="s">
        <v>35</v>
      </c>
      <c r="E393" s="1" t="s">
        <v>36</v>
      </c>
      <c r="F393" s="1" t="s">
        <v>8</v>
      </c>
      <c r="G393" s="1">
        <v>37.380000000000003</v>
      </c>
      <c r="H393" s="1" t="s">
        <v>37</v>
      </c>
      <c r="I393" s="1" t="s">
        <v>37</v>
      </c>
      <c r="J393" s="1" t="s">
        <v>38</v>
      </c>
      <c r="K393" s="1">
        <v>37.383570206464498</v>
      </c>
      <c r="L393" s="1" t="s">
        <v>40</v>
      </c>
    </row>
    <row r="394" spans="1:12" x14ac:dyDescent="0.45">
      <c r="A394" s="1" t="s">
        <v>103</v>
      </c>
      <c r="B394" s="1" t="s">
        <v>15</v>
      </c>
      <c r="C394" s="1">
        <v>15</v>
      </c>
      <c r="D394" s="1" t="s">
        <v>35</v>
      </c>
      <c r="E394" s="1" t="s">
        <v>36</v>
      </c>
      <c r="F394" s="1" t="s">
        <v>8</v>
      </c>
      <c r="G394" s="1" t="s">
        <v>9</v>
      </c>
      <c r="H394" s="1" t="s">
        <v>37</v>
      </c>
      <c r="I394" s="1" t="s">
        <v>37</v>
      </c>
      <c r="J394" s="1" t="s">
        <v>38</v>
      </c>
      <c r="K394" s="1" t="s">
        <v>39</v>
      </c>
      <c r="L394" s="1" t="s">
        <v>40</v>
      </c>
    </row>
    <row r="395" spans="1:12" x14ac:dyDescent="0.45">
      <c r="A395" s="1" t="s">
        <v>115</v>
      </c>
      <c r="B395" s="1" t="s">
        <v>15</v>
      </c>
      <c r="C395" s="1">
        <v>15</v>
      </c>
      <c r="D395" s="1" t="s">
        <v>35</v>
      </c>
      <c r="E395" s="1" t="s">
        <v>36</v>
      </c>
      <c r="F395" s="1" t="s">
        <v>8</v>
      </c>
      <c r="G395" s="1">
        <v>36.4</v>
      </c>
      <c r="H395" s="1" t="s">
        <v>37</v>
      </c>
      <c r="I395" s="1" t="s">
        <v>37</v>
      </c>
      <c r="J395" s="1" t="s">
        <v>38</v>
      </c>
      <c r="K395" s="1">
        <v>36.3962856235649</v>
      </c>
      <c r="L395" s="1" t="s">
        <v>40</v>
      </c>
    </row>
    <row r="396" spans="1:12" x14ac:dyDescent="0.45">
      <c r="A396" s="1" t="s">
        <v>56</v>
      </c>
      <c r="B396" s="1" t="s">
        <v>15</v>
      </c>
      <c r="C396" s="1">
        <v>16</v>
      </c>
      <c r="D396" s="1" t="s">
        <v>35</v>
      </c>
      <c r="E396" s="1" t="s">
        <v>36</v>
      </c>
      <c r="F396" s="1" t="s">
        <v>8</v>
      </c>
      <c r="G396" s="1">
        <v>39.97</v>
      </c>
      <c r="H396" s="1" t="s">
        <v>37</v>
      </c>
      <c r="I396" s="1" t="s">
        <v>37</v>
      </c>
      <c r="J396" s="1" t="s">
        <v>38</v>
      </c>
      <c r="K396" s="1">
        <v>39.966061742705698</v>
      </c>
      <c r="L396" s="1" t="s">
        <v>40</v>
      </c>
    </row>
    <row r="397" spans="1:12" x14ac:dyDescent="0.45">
      <c r="A397" s="1" t="s">
        <v>127</v>
      </c>
      <c r="B397" s="1" t="s">
        <v>15</v>
      </c>
      <c r="C397" s="1">
        <v>16</v>
      </c>
      <c r="D397" s="1" t="s">
        <v>35</v>
      </c>
      <c r="E397" s="1" t="s">
        <v>36</v>
      </c>
      <c r="F397" s="1" t="s">
        <v>8</v>
      </c>
      <c r="G397" s="1" t="s">
        <v>9</v>
      </c>
      <c r="H397" s="1" t="s">
        <v>37</v>
      </c>
      <c r="I397" s="1" t="s">
        <v>37</v>
      </c>
      <c r="J397" s="1" t="s">
        <v>38</v>
      </c>
      <c r="K397" s="1" t="s">
        <v>39</v>
      </c>
      <c r="L397" s="1" t="s">
        <v>40</v>
      </c>
    </row>
    <row r="398" spans="1:12" x14ac:dyDescent="0.45">
      <c r="A398" s="1" t="s">
        <v>139</v>
      </c>
      <c r="B398" s="1" t="s">
        <v>15</v>
      </c>
      <c r="C398" s="1">
        <v>16</v>
      </c>
      <c r="D398" s="1" t="s">
        <v>35</v>
      </c>
      <c r="E398" s="1" t="s">
        <v>36</v>
      </c>
      <c r="F398" s="1" t="s">
        <v>8</v>
      </c>
      <c r="G398" s="1">
        <v>37.26</v>
      </c>
      <c r="H398" s="1" t="s">
        <v>37</v>
      </c>
      <c r="I398" s="1" t="s">
        <v>37</v>
      </c>
      <c r="J398" s="1" t="s">
        <v>38</v>
      </c>
      <c r="K398" s="1">
        <v>37.257145343266401</v>
      </c>
      <c r="L398" s="1" t="s">
        <v>40</v>
      </c>
    </row>
    <row r="399" spans="1:12" x14ac:dyDescent="0.45">
      <c r="A399" s="1" t="s">
        <v>68</v>
      </c>
      <c r="B399" s="1" t="s">
        <v>15</v>
      </c>
      <c r="C399" s="1">
        <v>17</v>
      </c>
      <c r="D399" s="1" t="s">
        <v>35</v>
      </c>
      <c r="E399" s="1" t="s">
        <v>36</v>
      </c>
      <c r="F399" s="1" t="s">
        <v>8</v>
      </c>
      <c r="G399" s="1" t="s">
        <v>9</v>
      </c>
      <c r="H399" s="1" t="s">
        <v>37</v>
      </c>
      <c r="I399" s="1" t="s">
        <v>37</v>
      </c>
      <c r="J399" s="1" t="s">
        <v>38</v>
      </c>
      <c r="K399" s="1" t="s">
        <v>39</v>
      </c>
      <c r="L399" s="1" t="s">
        <v>40</v>
      </c>
    </row>
    <row r="400" spans="1:12" x14ac:dyDescent="0.45">
      <c r="A400" s="1" t="s">
        <v>80</v>
      </c>
      <c r="B400" s="1" t="s">
        <v>15</v>
      </c>
      <c r="C400" s="1">
        <v>17</v>
      </c>
      <c r="D400" s="1" t="s">
        <v>35</v>
      </c>
      <c r="E400" s="1" t="s">
        <v>36</v>
      </c>
      <c r="F400" s="1" t="s">
        <v>8</v>
      </c>
      <c r="G400" s="1" t="s">
        <v>9</v>
      </c>
      <c r="H400" s="1" t="s">
        <v>37</v>
      </c>
      <c r="I400" s="1" t="s">
        <v>37</v>
      </c>
      <c r="J400" s="1" t="s">
        <v>38</v>
      </c>
      <c r="K400" s="1" t="s">
        <v>39</v>
      </c>
      <c r="L400" s="1" t="s">
        <v>40</v>
      </c>
    </row>
    <row r="401" spans="1:12" x14ac:dyDescent="0.45">
      <c r="A401" s="1" t="s">
        <v>92</v>
      </c>
      <c r="B401" s="1" t="s">
        <v>15</v>
      </c>
      <c r="C401" s="1">
        <v>17</v>
      </c>
      <c r="D401" s="1" t="s">
        <v>35</v>
      </c>
      <c r="E401" s="1" t="s">
        <v>36</v>
      </c>
      <c r="F401" s="1" t="s">
        <v>8</v>
      </c>
      <c r="G401" s="1" t="s">
        <v>9</v>
      </c>
      <c r="H401" s="1" t="s">
        <v>37</v>
      </c>
      <c r="I401" s="1" t="s">
        <v>37</v>
      </c>
      <c r="J401" s="1" t="s">
        <v>38</v>
      </c>
      <c r="K401" s="1" t="s">
        <v>39</v>
      </c>
      <c r="L401" s="1" t="s">
        <v>40</v>
      </c>
    </row>
    <row r="402" spans="1:12" x14ac:dyDescent="0.45">
      <c r="A402" s="1" t="s">
        <v>104</v>
      </c>
      <c r="B402" s="1" t="s">
        <v>15</v>
      </c>
      <c r="C402" s="1">
        <v>18</v>
      </c>
      <c r="D402" s="1" t="s">
        <v>35</v>
      </c>
      <c r="E402" s="1" t="s">
        <v>36</v>
      </c>
      <c r="F402" s="1" t="s">
        <v>8</v>
      </c>
      <c r="G402" s="1">
        <v>37.19</v>
      </c>
      <c r="H402" s="1" t="s">
        <v>37</v>
      </c>
      <c r="I402" s="1" t="s">
        <v>37</v>
      </c>
      <c r="J402" s="1" t="s">
        <v>38</v>
      </c>
      <c r="K402" s="1">
        <v>37.187025142485702</v>
      </c>
      <c r="L402" s="1" t="s">
        <v>40</v>
      </c>
    </row>
    <row r="403" spans="1:12" x14ac:dyDescent="0.45">
      <c r="A403" s="1" t="s">
        <v>116</v>
      </c>
      <c r="B403" s="1" t="s">
        <v>15</v>
      </c>
      <c r="C403" s="1">
        <v>18</v>
      </c>
      <c r="D403" s="1" t="s">
        <v>35</v>
      </c>
      <c r="E403" s="1" t="s">
        <v>36</v>
      </c>
      <c r="F403" s="1" t="s">
        <v>8</v>
      </c>
      <c r="G403" s="1">
        <v>39.450000000000003</v>
      </c>
      <c r="H403" s="1" t="s">
        <v>37</v>
      </c>
      <c r="I403" s="1" t="s">
        <v>37</v>
      </c>
      <c r="J403" s="1" t="s">
        <v>38</v>
      </c>
      <c r="K403" s="1">
        <v>39.445095733402503</v>
      </c>
      <c r="L403" s="1" t="s">
        <v>40</v>
      </c>
    </row>
    <row r="404" spans="1:12" x14ac:dyDescent="0.45">
      <c r="A404" s="1" t="s">
        <v>128</v>
      </c>
      <c r="B404" s="1" t="s">
        <v>15</v>
      </c>
      <c r="C404" s="1">
        <v>18</v>
      </c>
      <c r="D404" s="1" t="s">
        <v>35</v>
      </c>
      <c r="E404" s="1" t="s">
        <v>36</v>
      </c>
      <c r="F404" s="1" t="s">
        <v>8</v>
      </c>
      <c r="G404" s="1" t="s">
        <v>9</v>
      </c>
      <c r="H404" s="1" t="s">
        <v>37</v>
      </c>
      <c r="I404" s="1" t="s">
        <v>37</v>
      </c>
      <c r="J404" s="1" t="s">
        <v>38</v>
      </c>
      <c r="K404" s="1" t="s">
        <v>39</v>
      </c>
      <c r="L404" s="1" t="s">
        <v>40</v>
      </c>
    </row>
    <row r="405" spans="1:12" x14ac:dyDescent="0.45">
      <c r="A405" s="1" t="s">
        <v>57</v>
      </c>
      <c r="B405" s="1" t="s">
        <v>15</v>
      </c>
      <c r="C405" s="1">
        <v>19</v>
      </c>
      <c r="D405" s="1" t="s">
        <v>35</v>
      </c>
      <c r="E405" s="1" t="s">
        <v>36</v>
      </c>
      <c r="F405" s="1" t="s">
        <v>8</v>
      </c>
      <c r="G405" s="1">
        <v>39.03</v>
      </c>
      <c r="H405" s="1" t="s">
        <v>37</v>
      </c>
      <c r="I405" s="1" t="s">
        <v>37</v>
      </c>
      <c r="J405" s="1" t="s">
        <v>38</v>
      </c>
      <c r="K405" s="1">
        <v>39.027910172100903</v>
      </c>
      <c r="L405" s="1" t="s">
        <v>40</v>
      </c>
    </row>
    <row r="406" spans="1:12" x14ac:dyDescent="0.45">
      <c r="A406" s="1" t="s">
        <v>69</v>
      </c>
      <c r="B406" s="1" t="s">
        <v>15</v>
      </c>
      <c r="C406" s="1">
        <v>19</v>
      </c>
      <c r="D406" s="1" t="s">
        <v>35</v>
      </c>
      <c r="E406" s="1" t="s">
        <v>36</v>
      </c>
      <c r="F406" s="1" t="s">
        <v>8</v>
      </c>
      <c r="G406" s="1" t="s">
        <v>9</v>
      </c>
      <c r="H406" s="1" t="s">
        <v>37</v>
      </c>
      <c r="I406" s="1" t="s">
        <v>37</v>
      </c>
      <c r="J406" s="1" t="s">
        <v>38</v>
      </c>
      <c r="K406" s="1" t="s">
        <v>39</v>
      </c>
      <c r="L406" s="1" t="s">
        <v>40</v>
      </c>
    </row>
    <row r="407" spans="1:12" x14ac:dyDescent="0.45">
      <c r="A407" s="1" t="s">
        <v>140</v>
      </c>
      <c r="B407" s="1" t="s">
        <v>15</v>
      </c>
      <c r="C407" s="1">
        <v>19</v>
      </c>
      <c r="D407" s="1" t="s">
        <v>35</v>
      </c>
      <c r="E407" s="1" t="s">
        <v>36</v>
      </c>
      <c r="F407" s="1" t="s">
        <v>8</v>
      </c>
      <c r="G407" s="1">
        <v>39.22</v>
      </c>
      <c r="H407" s="1" t="s">
        <v>37</v>
      </c>
      <c r="I407" s="1" t="s">
        <v>37</v>
      </c>
      <c r="J407" s="1" t="s">
        <v>38</v>
      </c>
      <c r="K407" s="1">
        <v>39.216376025203601</v>
      </c>
      <c r="L407" s="1" t="s">
        <v>40</v>
      </c>
    </row>
    <row r="408" spans="1:12" x14ac:dyDescent="0.45">
      <c r="A408" s="1" t="s">
        <v>81</v>
      </c>
      <c r="B408" s="1" t="s">
        <v>15</v>
      </c>
      <c r="C408" s="1">
        <v>20</v>
      </c>
      <c r="D408" s="1" t="s">
        <v>35</v>
      </c>
      <c r="E408" s="1" t="s">
        <v>36</v>
      </c>
      <c r="F408" s="1" t="s">
        <v>8</v>
      </c>
      <c r="G408" s="1" t="s">
        <v>9</v>
      </c>
      <c r="H408" s="1" t="s">
        <v>37</v>
      </c>
      <c r="I408" s="1" t="s">
        <v>37</v>
      </c>
      <c r="J408" s="1" t="s">
        <v>38</v>
      </c>
      <c r="K408" s="1" t="s">
        <v>39</v>
      </c>
      <c r="L408" s="1" t="s">
        <v>40</v>
      </c>
    </row>
    <row r="409" spans="1:12" x14ac:dyDescent="0.45">
      <c r="A409" s="1" t="s">
        <v>93</v>
      </c>
      <c r="B409" s="1" t="s">
        <v>15</v>
      </c>
      <c r="C409" s="1">
        <v>20</v>
      </c>
      <c r="D409" s="1" t="s">
        <v>35</v>
      </c>
      <c r="E409" s="1" t="s">
        <v>36</v>
      </c>
      <c r="F409" s="1" t="s">
        <v>8</v>
      </c>
      <c r="G409" s="1">
        <v>36.450000000000003</v>
      </c>
      <c r="H409" s="1" t="s">
        <v>37</v>
      </c>
      <c r="I409" s="1" t="s">
        <v>37</v>
      </c>
      <c r="J409" s="1" t="s">
        <v>38</v>
      </c>
      <c r="K409" s="1">
        <v>36.452218884479997</v>
      </c>
      <c r="L409" s="1" t="s">
        <v>40</v>
      </c>
    </row>
    <row r="410" spans="1:12" x14ac:dyDescent="0.45">
      <c r="A410" s="1" t="s">
        <v>105</v>
      </c>
      <c r="B410" s="1" t="s">
        <v>15</v>
      </c>
      <c r="C410" s="1">
        <v>20</v>
      </c>
      <c r="D410" s="1" t="s">
        <v>35</v>
      </c>
      <c r="E410" s="1" t="s">
        <v>36</v>
      </c>
      <c r="F410" s="1" t="s">
        <v>8</v>
      </c>
      <c r="G410" s="1">
        <v>37.5</v>
      </c>
      <c r="H410" s="1" t="s">
        <v>37</v>
      </c>
      <c r="I410" s="1" t="s">
        <v>37</v>
      </c>
      <c r="J410" s="1" t="s">
        <v>38</v>
      </c>
      <c r="K410" s="1">
        <v>37.4978772012173</v>
      </c>
      <c r="L410" s="1" t="s">
        <v>40</v>
      </c>
    </row>
    <row r="411" spans="1:12" x14ac:dyDescent="0.45">
      <c r="A411" s="1" t="s">
        <v>117</v>
      </c>
      <c r="B411" s="1" t="s">
        <v>15</v>
      </c>
      <c r="C411" s="1">
        <v>21</v>
      </c>
      <c r="D411" s="1" t="s">
        <v>35</v>
      </c>
      <c r="E411" s="1" t="s">
        <v>36</v>
      </c>
      <c r="F411" s="1" t="s">
        <v>8</v>
      </c>
      <c r="G411" s="1">
        <v>37.6</v>
      </c>
      <c r="H411" s="1" t="s">
        <v>37</v>
      </c>
      <c r="I411" s="1" t="s">
        <v>37</v>
      </c>
      <c r="J411" s="1" t="s">
        <v>38</v>
      </c>
      <c r="K411" s="1">
        <v>37.603328898638402</v>
      </c>
      <c r="L411" s="1" t="s">
        <v>40</v>
      </c>
    </row>
    <row r="412" spans="1:12" x14ac:dyDescent="0.45">
      <c r="A412" s="1" t="s">
        <v>129</v>
      </c>
      <c r="B412" s="1" t="s">
        <v>15</v>
      </c>
      <c r="C412" s="1">
        <v>21</v>
      </c>
      <c r="D412" s="1" t="s">
        <v>35</v>
      </c>
      <c r="E412" s="1" t="s">
        <v>36</v>
      </c>
      <c r="F412" s="1" t="s">
        <v>8</v>
      </c>
      <c r="G412" s="1">
        <v>37.94</v>
      </c>
      <c r="H412" s="1" t="s">
        <v>37</v>
      </c>
      <c r="I412" s="1" t="s">
        <v>37</v>
      </c>
      <c r="J412" s="1" t="s">
        <v>38</v>
      </c>
      <c r="K412" s="1">
        <v>37.937388500957901</v>
      </c>
      <c r="L412" s="1" t="s">
        <v>40</v>
      </c>
    </row>
    <row r="413" spans="1:12" x14ac:dyDescent="0.45">
      <c r="A413" s="1" t="s">
        <v>141</v>
      </c>
      <c r="B413" s="1" t="s">
        <v>15</v>
      </c>
      <c r="C413" s="1">
        <v>21</v>
      </c>
      <c r="D413" s="1" t="s">
        <v>35</v>
      </c>
      <c r="E413" s="1" t="s">
        <v>36</v>
      </c>
      <c r="F413" s="1" t="s">
        <v>8</v>
      </c>
      <c r="G413" s="1" t="s">
        <v>9</v>
      </c>
      <c r="H413" s="1" t="s">
        <v>37</v>
      </c>
      <c r="I413" s="1" t="s">
        <v>37</v>
      </c>
      <c r="J413" s="1" t="s">
        <v>38</v>
      </c>
      <c r="K413" s="1" t="s">
        <v>39</v>
      </c>
      <c r="L413" s="1" t="s">
        <v>40</v>
      </c>
    </row>
    <row r="414" spans="1:12" x14ac:dyDescent="0.45">
      <c r="A414" s="1" t="s">
        <v>58</v>
      </c>
      <c r="B414" s="1" t="s">
        <v>15</v>
      </c>
      <c r="C414" s="1">
        <v>22</v>
      </c>
      <c r="D414" s="1" t="s">
        <v>35</v>
      </c>
      <c r="E414" s="1" t="s">
        <v>36</v>
      </c>
      <c r="F414" s="1" t="s">
        <v>8</v>
      </c>
      <c r="G414" s="1">
        <v>37.51</v>
      </c>
      <c r="H414" s="1" t="s">
        <v>37</v>
      </c>
      <c r="I414" s="1" t="s">
        <v>37</v>
      </c>
      <c r="J414" s="1" t="s">
        <v>38</v>
      </c>
      <c r="K414" s="1">
        <v>37.505398524917702</v>
      </c>
      <c r="L414" s="1" t="s">
        <v>40</v>
      </c>
    </row>
    <row r="415" spans="1:12" x14ac:dyDescent="0.45">
      <c r="A415" s="1" t="s">
        <v>70</v>
      </c>
      <c r="B415" s="1" t="s">
        <v>15</v>
      </c>
      <c r="C415" s="1">
        <v>22</v>
      </c>
      <c r="D415" s="1" t="s">
        <v>35</v>
      </c>
      <c r="E415" s="1" t="s">
        <v>36</v>
      </c>
      <c r="F415" s="1" t="s">
        <v>8</v>
      </c>
      <c r="G415" s="1">
        <v>36.630000000000003</v>
      </c>
      <c r="H415" s="1" t="s">
        <v>37</v>
      </c>
      <c r="I415" s="1" t="s">
        <v>37</v>
      </c>
      <c r="J415" s="1" t="s">
        <v>38</v>
      </c>
      <c r="K415" s="1">
        <v>36.626058822297502</v>
      </c>
      <c r="L415" s="1" t="s">
        <v>40</v>
      </c>
    </row>
    <row r="416" spans="1:12" x14ac:dyDescent="0.45">
      <c r="A416" s="1" t="s">
        <v>82</v>
      </c>
      <c r="B416" s="1" t="s">
        <v>15</v>
      </c>
      <c r="C416" s="1">
        <v>22</v>
      </c>
      <c r="D416" s="1" t="s">
        <v>35</v>
      </c>
      <c r="E416" s="1" t="s">
        <v>36</v>
      </c>
      <c r="F416" s="1" t="s">
        <v>8</v>
      </c>
      <c r="G416" s="1">
        <v>36.369999999999997</v>
      </c>
      <c r="H416" s="1" t="s">
        <v>37</v>
      </c>
      <c r="I416" s="1" t="s">
        <v>37</v>
      </c>
      <c r="J416" s="1" t="s">
        <v>38</v>
      </c>
      <c r="K416" s="1">
        <v>36.373483784344501</v>
      </c>
      <c r="L416" s="1" t="s">
        <v>40</v>
      </c>
    </row>
    <row r="417" spans="1:12" x14ac:dyDescent="0.45">
      <c r="A417" s="1" t="s">
        <v>94</v>
      </c>
      <c r="B417" s="1" t="s">
        <v>15</v>
      </c>
      <c r="C417" s="1">
        <v>23</v>
      </c>
      <c r="D417" s="1" t="s">
        <v>35</v>
      </c>
      <c r="E417" s="1" t="s">
        <v>36</v>
      </c>
      <c r="F417" s="1" t="s">
        <v>8</v>
      </c>
      <c r="G417" s="1" t="s">
        <v>9</v>
      </c>
      <c r="H417" s="1" t="s">
        <v>37</v>
      </c>
      <c r="I417" s="1" t="s">
        <v>37</v>
      </c>
      <c r="J417" s="1" t="s">
        <v>38</v>
      </c>
      <c r="K417" s="1" t="s">
        <v>39</v>
      </c>
      <c r="L417" s="1" t="s">
        <v>40</v>
      </c>
    </row>
    <row r="418" spans="1:12" x14ac:dyDescent="0.45">
      <c r="A418" s="1" t="s">
        <v>106</v>
      </c>
      <c r="B418" s="1" t="s">
        <v>15</v>
      </c>
      <c r="C418" s="1">
        <v>23</v>
      </c>
      <c r="D418" s="1" t="s">
        <v>35</v>
      </c>
      <c r="E418" s="1" t="s">
        <v>36</v>
      </c>
      <c r="F418" s="1" t="s">
        <v>8</v>
      </c>
      <c r="G418" s="1">
        <v>36.82</v>
      </c>
      <c r="H418" s="1" t="s">
        <v>37</v>
      </c>
      <c r="I418" s="1" t="s">
        <v>37</v>
      </c>
      <c r="J418" s="1" t="s">
        <v>38</v>
      </c>
      <c r="K418" s="1">
        <v>36.816660519913498</v>
      </c>
      <c r="L418" s="1" t="s">
        <v>40</v>
      </c>
    </row>
    <row r="419" spans="1:12" x14ac:dyDescent="0.45">
      <c r="A419" s="1" t="s">
        <v>118</v>
      </c>
      <c r="B419" s="1" t="s">
        <v>15</v>
      </c>
      <c r="C419" s="1">
        <v>23</v>
      </c>
      <c r="D419" s="1" t="s">
        <v>35</v>
      </c>
      <c r="E419" s="1" t="s">
        <v>36</v>
      </c>
      <c r="F419" s="1" t="s">
        <v>8</v>
      </c>
      <c r="G419" s="1" t="s">
        <v>9</v>
      </c>
      <c r="H419" s="1" t="s">
        <v>37</v>
      </c>
      <c r="I419" s="1" t="s">
        <v>37</v>
      </c>
      <c r="J419" s="1" t="s">
        <v>38</v>
      </c>
      <c r="K419" s="1" t="s">
        <v>39</v>
      </c>
      <c r="L419" s="1" t="s">
        <v>40</v>
      </c>
    </row>
    <row r="420" spans="1:12" x14ac:dyDescent="0.45">
      <c r="A420" s="1" t="s">
        <v>59</v>
      </c>
      <c r="B420" s="1" t="s">
        <v>15</v>
      </c>
      <c r="C420" s="1">
        <v>24</v>
      </c>
      <c r="D420" s="1" t="s">
        <v>35</v>
      </c>
      <c r="E420" s="1" t="s">
        <v>36</v>
      </c>
      <c r="F420" s="1" t="s">
        <v>8</v>
      </c>
      <c r="G420" s="1">
        <v>38.869999999999997</v>
      </c>
      <c r="H420" s="1" t="s">
        <v>37</v>
      </c>
      <c r="I420" s="1" t="s">
        <v>37</v>
      </c>
      <c r="J420" s="1" t="s">
        <v>38</v>
      </c>
      <c r="K420" s="1">
        <v>38.874998763410197</v>
      </c>
      <c r="L420" s="1" t="s">
        <v>40</v>
      </c>
    </row>
    <row r="421" spans="1:12" x14ac:dyDescent="0.45">
      <c r="A421" s="1" t="s">
        <v>130</v>
      </c>
      <c r="B421" s="1" t="s">
        <v>15</v>
      </c>
      <c r="C421" s="1">
        <v>24</v>
      </c>
      <c r="D421" s="1" t="s">
        <v>35</v>
      </c>
      <c r="E421" s="1" t="s">
        <v>36</v>
      </c>
      <c r="F421" s="1" t="s">
        <v>8</v>
      </c>
      <c r="G421" s="1">
        <v>37.43</v>
      </c>
      <c r="H421" s="1" t="s">
        <v>37</v>
      </c>
      <c r="I421" s="1" t="s">
        <v>37</v>
      </c>
      <c r="J421" s="1" t="s">
        <v>38</v>
      </c>
      <c r="K421" s="1">
        <v>37.425243464751198</v>
      </c>
      <c r="L421" s="1" t="s">
        <v>40</v>
      </c>
    </row>
    <row r="422" spans="1:12" x14ac:dyDescent="0.45">
      <c r="A422" s="1" t="s">
        <v>142</v>
      </c>
      <c r="B422" s="1" t="s">
        <v>15</v>
      </c>
      <c r="C422" s="1">
        <v>24</v>
      </c>
      <c r="D422" s="1" t="s">
        <v>35</v>
      </c>
      <c r="E422" s="1" t="s">
        <v>36</v>
      </c>
      <c r="F422" s="1" t="s">
        <v>8</v>
      </c>
      <c r="G422" s="1">
        <v>36.74</v>
      </c>
      <c r="H422" s="1" t="s">
        <v>37</v>
      </c>
      <c r="I422" s="1" t="s">
        <v>37</v>
      </c>
      <c r="J422" s="1" t="s">
        <v>38</v>
      </c>
      <c r="K422" s="1">
        <v>36.737651088460701</v>
      </c>
      <c r="L422" s="1" t="s">
        <v>40</v>
      </c>
    </row>
    <row r="423" spans="1:12" x14ac:dyDescent="0.45">
      <c r="A423" s="1" t="s">
        <v>71</v>
      </c>
      <c r="B423" s="1" t="s">
        <v>15</v>
      </c>
      <c r="C423" s="1">
        <v>25</v>
      </c>
      <c r="D423" s="1" t="s">
        <v>35</v>
      </c>
      <c r="E423" s="1" t="s">
        <v>36</v>
      </c>
      <c r="F423" s="1" t="s">
        <v>8</v>
      </c>
      <c r="G423" s="1" t="s">
        <v>9</v>
      </c>
      <c r="H423" s="1" t="s">
        <v>37</v>
      </c>
      <c r="I423" s="1" t="s">
        <v>37</v>
      </c>
      <c r="J423" s="1" t="s">
        <v>38</v>
      </c>
      <c r="K423" s="1" t="s">
        <v>39</v>
      </c>
      <c r="L423" s="1" t="s">
        <v>40</v>
      </c>
    </row>
    <row r="424" spans="1:12" x14ac:dyDescent="0.45">
      <c r="A424" s="1" t="s">
        <v>83</v>
      </c>
      <c r="B424" s="1" t="s">
        <v>15</v>
      </c>
      <c r="C424" s="1">
        <v>25</v>
      </c>
      <c r="D424" s="1" t="s">
        <v>35</v>
      </c>
      <c r="E424" s="1" t="s">
        <v>36</v>
      </c>
      <c r="F424" s="1" t="s">
        <v>8</v>
      </c>
      <c r="G424" s="1">
        <v>38.51</v>
      </c>
      <c r="H424" s="1" t="s">
        <v>37</v>
      </c>
      <c r="I424" s="1" t="s">
        <v>37</v>
      </c>
      <c r="J424" s="1" t="s">
        <v>38</v>
      </c>
      <c r="K424" s="1">
        <v>38.514240777094997</v>
      </c>
      <c r="L424" s="1" t="s">
        <v>40</v>
      </c>
    </row>
    <row r="425" spans="1:12" x14ac:dyDescent="0.45">
      <c r="A425" s="1" t="s">
        <v>95</v>
      </c>
      <c r="B425" s="1" t="s">
        <v>15</v>
      </c>
      <c r="C425" s="1">
        <v>25</v>
      </c>
      <c r="D425" s="1" t="s">
        <v>35</v>
      </c>
      <c r="E425" s="1" t="s">
        <v>36</v>
      </c>
      <c r="F425" s="1" t="s">
        <v>8</v>
      </c>
      <c r="G425" s="1">
        <v>36.04</v>
      </c>
      <c r="H425" s="1" t="s">
        <v>37</v>
      </c>
      <c r="I425" s="1" t="s">
        <v>37</v>
      </c>
      <c r="J425" s="1" t="s">
        <v>38</v>
      </c>
      <c r="K425" s="1">
        <v>36.037486282268702</v>
      </c>
      <c r="L425" s="1" t="s">
        <v>40</v>
      </c>
    </row>
    <row r="426" spans="1:12" x14ac:dyDescent="0.45">
      <c r="A426" s="1" t="s">
        <v>107</v>
      </c>
      <c r="B426" s="1" t="s">
        <v>15</v>
      </c>
      <c r="C426" s="1">
        <v>26</v>
      </c>
      <c r="D426" s="1" t="s">
        <v>35</v>
      </c>
      <c r="E426" s="1" t="s">
        <v>36</v>
      </c>
      <c r="F426" s="1" t="s">
        <v>8</v>
      </c>
      <c r="G426" s="1">
        <v>36.72</v>
      </c>
      <c r="H426" s="1" t="s">
        <v>37</v>
      </c>
      <c r="I426" s="1" t="s">
        <v>37</v>
      </c>
      <c r="J426" s="1" t="s">
        <v>38</v>
      </c>
      <c r="K426" s="1">
        <v>36.722376917851697</v>
      </c>
      <c r="L426" s="1" t="s">
        <v>40</v>
      </c>
    </row>
    <row r="427" spans="1:12" x14ac:dyDescent="0.45">
      <c r="A427" s="1" t="s">
        <v>119</v>
      </c>
      <c r="B427" s="1" t="s">
        <v>15</v>
      </c>
      <c r="C427" s="1">
        <v>26</v>
      </c>
      <c r="D427" s="1" t="s">
        <v>35</v>
      </c>
      <c r="E427" s="1" t="s">
        <v>36</v>
      </c>
      <c r="F427" s="1" t="s">
        <v>8</v>
      </c>
      <c r="G427" s="1">
        <v>36.56</v>
      </c>
      <c r="H427" s="1" t="s">
        <v>37</v>
      </c>
      <c r="I427" s="1" t="s">
        <v>37</v>
      </c>
      <c r="J427" s="1" t="s">
        <v>38</v>
      </c>
      <c r="K427" s="1">
        <v>36.564596186587302</v>
      </c>
      <c r="L427" s="1" t="s">
        <v>40</v>
      </c>
    </row>
    <row r="428" spans="1:12" x14ac:dyDescent="0.45">
      <c r="A428" s="1" t="s">
        <v>131</v>
      </c>
      <c r="B428" s="1" t="s">
        <v>15</v>
      </c>
      <c r="C428" s="1">
        <v>26</v>
      </c>
      <c r="D428" s="1" t="s">
        <v>35</v>
      </c>
      <c r="E428" s="1" t="s">
        <v>36</v>
      </c>
      <c r="F428" s="1" t="s">
        <v>8</v>
      </c>
      <c r="G428" s="1" t="s">
        <v>9</v>
      </c>
      <c r="H428" s="1" t="s">
        <v>37</v>
      </c>
      <c r="I428" s="1" t="s">
        <v>37</v>
      </c>
      <c r="J428" s="1" t="s">
        <v>38</v>
      </c>
      <c r="K428" s="1" t="s">
        <v>39</v>
      </c>
      <c r="L428" s="1" t="s">
        <v>40</v>
      </c>
    </row>
    <row r="429" spans="1:12" x14ac:dyDescent="0.45">
      <c r="A429" s="1" t="s">
        <v>60</v>
      </c>
      <c r="B429" s="1" t="s">
        <v>15</v>
      </c>
      <c r="C429" s="1">
        <v>27</v>
      </c>
      <c r="D429" s="1" t="s">
        <v>35</v>
      </c>
      <c r="E429" s="1" t="s">
        <v>36</v>
      </c>
      <c r="F429" s="1" t="s">
        <v>8</v>
      </c>
      <c r="G429" s="1">
        <v>39.090000000000003</v>
      </c>
      <c r="H429" s="1" t="s">
        <v>37</v>
      </c>
      <c r="I429" s="1" t="s">
        <v>37</v>
      </c>
      <c r="J429" s="1" t="s">
        <v>38</v>
      </c>
      <c r="K429" s="1">
        <v>39.085328961299702</v>
      </c>
      <c r="L429" s="1" t="s">
        <v>40</v>
      </c>
    </row>
    <row r="430" spans="1:12" x14ac:dyDescent="0.45">
      <c r="A430" s="1" t="s">
        <v>72</v>
      </c>
      <c r="B430" s="1" t="s">
        <v>15</v>
      </c>
      <c r="C430" s="1">
        <v>27</v>
      </c>
      <c r="D430" s="1" t="s">
        <v>35</v>
      </c>
      <c r="E430" s="1" t="s">
        <v>36</v>
      </c>
      <c r="F430" s="1" t="s">
        <v>8</v>
      </c>
      <c r="G430" s="1" t="s">
        <v>9</v>
      </c>
      <c r="H430" s="1" t="s">
        <v>37</v>
      </c>
      <c r="I430" s="1" t="s">
        <v>37</v>
      </c>
      <c r="J430" s="1" t="s">
        <v>38</v>
      </c>
      <c r="K430" s="1" t="s">
        <v>39</v>
      </c>
      <c r="L430" s="1" t="s">
        <v>40</v>
      </c>
    </row>
    <row r="431" spans="1:12" x14ac:dyDescent="0.45">
      <c r="A431" s="1" t="s">
        <v>143</v>
      </c>
      <c r="B431" s="1" t="s">
        <v>15</v>
      </c>
      <c r="C431" s="1">
        <v>27</v>
      </c>
      <c r="D431" s="1" t="s">
        <v>35</v>
      </c>
      <c r="E431" s="1" t="s">
        <v>36</v>
      </c>
      <c r="F431" s="1" t="s">
        <v>8</v>
      </c>
      <c r="G431" s="1">
        <v>37.729999999999997</v>
      </c>
      <c r="H431" s="1" t="s">
        <v>37</v>
      </c>
      <c r="I431" s="1" t="s">
        <v>37</v>
      </c>
      <c r="J431" s="1" t="s">
        <v>38</v>
      </c>
      <c r="K431" s="1">
        <v>37.733452223733401</v>
      </c>
      <c r="L431" s="1" t="s">
        <v>40</v>
      </c>
    </row>
    <row r="432" spans="1:12" x14ac:dyDescent="0.45">
      <c r="A432" s="1" t="s">
        <v>84</v>
      </c>
      <c r="B432" s="1" t="s">
        <v>15</v>
      </c>
      <c r="C432" s="1">
        <v>28</v>
      </c>
      <c r="D432" s="1" t="s">
        <v>35</v>
      </c>
      <c r="E432" s="1" t="s">
        <v>36</v>
      </c>
      <c r="F432" s="1" t="s">
        <v>8</v>
      </c>
      <c r="G432" s="1" t="s">
        <v>9</v>
      </c>
      <c r="H432" s="1" t="s">
        <v>37</v>
      </c>
      <c r="I432" s="1" t="s">
        <v>37</v>
      </c>
      <c r="J432" s="1" t="s">
        <v>38</v>
      </c>
      <c r="K432" s="1" t="s">
        <v>39</v>
      </c>
      <c r="L432" s="1" t="s">
        <v>40</v>
      </c>
    </row>
    <row r="433" spans="1:12" x14ac:dyDescent="0.45">
      <c r="A433" s="1" t="s">
        <v>96</v>
      </c>
      <c r="B433" s="1" t="s">
        <v>15</v>
      </c>
      <c r="C433" s="1">
        <v>28</v>
      </c>
      <c r="D433" s="1" t="s">
        <v>35</v>
      </c>
      <c r="E433" s="1" t="s">
        <v>36</v>
      </c>
      <c r="F433" s="1" t="s">
        <v>8</v>
      </c>
      <c r="G433" s="1">
        <v>36.69</v>
      </c>
      <c r="H433" s="1" t="s">
        <v>37</v>
      </c>
      <c r="I433" s="1" t="s">
        <v>37</v>
      </c>
      <c r="J433" s="1" t="s">
        <v>38</v>
      </c>
      <c r="K433" s="1">
        <v>36.686056575820601</v>
      </c>
      <c r="L433" s="1" t="s">
        <v>40</v>
      </c>
    </row>
    <row r="434" spans="1:12" x14ac:dyDescent="0.45">
      <c r="A434" s="1" t="s">
        <v>108</v>
      </c>
      <c r="B434" s="1" t="s">
        <v>15</v>
      </c>
      <c r="C434" s="1">
        <v>28</v>
      </c>
      <c r="D434" s="1" t="s">
        <v>35</v>
      </c>
      <c r="E434" s="1" t="s">
        <v>36</v>
      </c>
      <c r="F434" s="1" t="s">
        <v>8</v>
      </c>
      <c r="G434" s="1">
        <v>36.54</v>
      </c>
      <c r="H434" s="1" t="s">
        <v>37</v>
      </c>
      <c r="I434" s="1" t="s">
        <v>37</v>
      </c>
      <c r="J434" s="1" t="s">
        <v>38</v>
      </c>
      <c r="K434" s="1">
        <v>36.540650819693703</v>
      </c>
      <c r="L434" s="1" t="s">
        <v>40</v>
      </c>
    </row>
    <row r="435" spans="1:12" x14ac:dyDescent="0.45">
      <c r="A435" s="1" t="s">
        <v>120</v>
      </c>
      <c r="B435" s="1" t="s">
        <v>15</v>
      </c>
      <c r="C435" s="1">
        <v>29</v>
      </c>
      <c r="D435" s="1" t="s">
        <v>35</v>
      </c>
      <c r="E435" s="1" t="s">
        <v>36</v>
      </c>
      <c r="F435" s="1" t="s">
        <v>8</v>
      </c>
      <c r="G435" s="1">
        <v>36.36</v>
      </c>
      <c r="H435" s="1" t="s">
        <v>37</v>
      </c>
      <c r="I435" s="1" t="s">
        <v>37</v>
      </c>
      <c r="J435" s="1" t="s">
        <v>38</v>
      </c>
      <c r="K435" s="1">
        <v>36.357218003945597</v>
      </c>
      <c r="L435" s="1" t="s">
        <v>40</v>
      </c>
    </row>
    <row r="436" spans="1:12" x14ac:dyDescent="0.45">
      <c r="A436" s="1" t="s">
        <v>132</v>
      </c>
      <c r="B436" s="1" t="s">
        <v>15</v>
      </c>
      <c r="C436" s="1">
        <v>29</v>
      </c>
      <c r="D436" s="1" t="s">
        <v>35</v>
      </c>
      <c r="E436" s="1" t="s">
        <v>36</v>
      </c>
      <c r="F436" s="1" t="s">
        <v>8</v>
      </c>
      <c r="G436" s="1">
        <v>35.1</v>
      </c>
      <c r="H436" s="1" t="s">
        <v>37</v>
      </c>
      <c r="I436" s="1" t="s">
        <v>37</v>
      </c>
      <c r="J436" s="1" t="s">
        <v>38</v>
      </c>
      <c r="K436" s="1">
        <v>35.102166991983601</v>
      </c>
      <c r="L436" s="1" t="s">
        <v>40</v>
      </c>
    </row>
    <row r="437" spans="1:12" x14ac:dyDescent="0.45">
      <c r="A437" s="1" t="s">
        <v>144</v>
      </c>
      <c r="B437" s="1" t="s">
        <v>15</v>
      </c>
      <c r="C437" s="1">
        <v>29</v>
      </c>
      <c r="D437" s="1" t="s">
        <v>35</v>
      </c>
      <c r="E437" s="1" t="s">
        <v>36</v>
      </c>
      <c r="F437" s="1" t="s">
        <v>8</v>
      </c>
      <c r="G437" s="1">
        <v>35.299999999999997</v>
      </c>
      <c r="H437" s="1" t="s">
        <v>37</v>
      </c>
      <c r="I437" s="1" t="s">
        <v>37</v>
      </c>
      <c r="J437" s="1" t="s">
        <v>38</v>
      </c>
      <c r="K437" s="1">
        <v>35.303821816191899</v>
      </c>
      <c r="L437" s="1" t="s">
        <v>40</v>
      </c>
    </row>
    <row r="438" spans="1:12" x14ac:dyDescent="0.45">
      <c r="A438" s="1" t="s">
        <v>49</v>
      </c>
      <c r="B438" s="1" t="s">
        <v>7</v>
      </c>
      <c r="C438" s="1" t="s">
        <v>7</v>
      </c>
      <c r="D438" s="1" t="s">
        <v>35</v>
      </c>
      <c r="E438" s="1" t="s">
        <v>36</v>
      </c>
      <c r="F438" s="1" t="s">
        <v>8</v>
      </c>
      <c r="G438" s="1" t="s">
        <v>9</v>
      </c>
      <c r="H438" s="1" t="s">
        <v>37</v>
      </c>
      <c r="I438" s="1" t="s">
        <v>37</v>
      </c>
      <c r="J438" s="1" t="s">
        <v>38</v>
      </c>
      <c r="K438" s="1" t="s">
        <v>39</v>
      </c>
      <c r="L438" s="1" t="s">
        <v>40</v>
      </c>
    </row>
    <row r="439" spans="1:12" x14ac:dyDescent="0.45">
      <c r="A439" s="1" t="s">
        <v>61</v>
      </c>
      <c r="B439" s="1" t="s">
        <v>7</v>
      </c>
      <c r="C439" s="1" t="s">
        <v>7</v>
      </c>
      <c r="D439" s="1" t="s">
        <v>35</v>
      </c>
      <c r="E439" s="1" t="s">
        <v>36</v>
      </c>
      <c r="F439" s="1" t="s">
        <v>8</v>
      </c>
      <c r="G439" s="1" t="s">
        <v>9</v>
      </c>
      <c r="H439" s="1" t="s">
        <v>37</v>
      </c>
      <c r="I439" s="1" t="s">
        <v>37</v>
      </c>
      <c r="J439" s="1" t="s">
        <v>38</v>
      </c>
      <c r="K439" s="1" t="s">
        <v>39</v>
      </c>
      <c r="L439" s="1" t="s">
        <v>40</v>
      </c>
    </row>
    <row r="440" spans="1:12" x14ac:dyDescent="0.45">
      <c r="A440" s="1" t="s">
        <v>73</v>
      </c>
      <c r="B440" s="1" t="s">
        <v>7</v>
      </c>
      <c r="C440" s="1" t="s">
        <v>7</v>
      </c>
      <c r="D440" s="1" t="s">
        <v>35</v>
      </c>
      <c r="E440" s="1" t="s">
        <v>36</v>
      </c>
      <c r="F440" s="1" t="s">
        <v>8</v>
      </c>
      <c r="G440" s="1" t="s">
        <v>9</v>
      </c>
      <c r="H440" s="1" t="s">
        <v>37</v>
      </c>
      <c r="I440" s="1" t="s">
        <v>37</v>
      </c>
      <c r="J440" s="1" t="s">
        <v>38</v>
      </c>
      <c r="K440" s="1" t="s">
        <v>39</v>
      </c>
      <c r="L440" s="1" t="s">
        <v>40</v>
      </c>
    </row>
    <row r="441" spans="1:12" x14ac:dyDescent="0.45">
      <c r="A441" s="1" t="s">
        <v>85</v>
      </c>
      <c r="B441" s="1" t="s">
        <v>11</v>
      </c>
      <c r="C441" s="1" t="s">
        <v>43</v>
      </c>
      <c r="D441" s="1" t="s">
        <v>35</v>
      </c>
      <c r="E441" s="1" t="s">
        <v>36</v>
      </c>
      <c r="F441" s="1" t="s">
        <v>8</v>
      </c>
      <c r="G441" s="1">
        <v>15.53</v>
      </c>
      <c r="H441" s="1" t="s">
        <v>37</v>
      </c>
      <c r="I441" s="1" t="s">
        <v>37</v>
      </c>
      <c r="J441" s="1" t="s">
        <v>38</v>
      </c>
      <c r="K441" s="1">
        <v>15.529625355662199</v>
      </c>
      <c r="L441" s="1" t="s">
        <v>40</v>
      </c>
    </row>
    <row r="442" spans="1:12" x14ac:dyDescent="0.45">
      <c r="A442" s="1" t="s">
        <v>97</v>
      </c>
      <c r="B442" s="1" t="s">
        <v>11</v>
      </c>
      <c r="C442" s="1" t="s">
        <v>43</v>
      </c>
      <c r="D442" s="1" t="s">
        <v>35</v>
      </c>
      <c r="E442" s="1" t="s">
        <v>36</v>
      </c>
      <c r="F442" s="1" t="s">
        <v>8</v>
      </c>
      <c r="G442" s="1">
        <v>15.3</v>
      </c>
      <c r="H442" s="1" t="s">
        <v>37</v>
      </c>
      <c r="I442" s="1" t="s">
        <v>37</v>
      </c>
      <c r="J442" s="1" t="s">
        <v>38</v>
      </c>
      <c r="K442" s="1">
        <v>15.300587212515101</v>
      </c>
      <c r="L442" s="1" t="s">
        <v>40</v>
      </c>
    </row>
    <row r="443" spans="1:12" x14ac:dyDescent="0.45">
      <c r="A443" s="1" t="s">
        <v>109</v>
      </c>
      <c r="B443" s="1" t="s">
        <v>11</v>
      </c>
      <c r="C443" s="1" t="s">
        <v>43</v>
      </c>
      <c r="D443" s="1" t="s">
        <v>35</v>
      </c>
      <c r="E443" s="1" t="s">
        <v>36</v>
      </c>
      <c r="F443" s="1" t="s">
        <v>8</v>
      </c>
      <c r="G443" s="1">
        <v>15.37</v>
      </c>
      <c r="H443" s="1" t="s">
        <v>37</v>
      </c>
      <c r="I443" s="1" t="s">
        <v>37</v>
      </c>
      <c r="J443" s="1" t="s">
        <v>38</v>
      </c>
      <c r="K443" s="1">
        <v>15.366621690368101</v>
      </c>
      <c r="L443" s="1" t="s">
        <v>40</v>
      </c>
    </row>
    <row r="444" spans="1:12" x14ac:dyDescent="0.45">
      <c r="A444" s="1" t="s">
        <v>50</v>
      </c>
      <c r="B444" s="1" t="s">
        <v>11</v>
      </c>
      <c r="C444" s="1" t="s">
        <v>41</v>
      </c>
      <c r="D444" s="1" t="s">
        <v>35</v>
      </c>
      <c r="E444" s="1" t="s">
        <v>36</v>
      </c>
      <c r="F444" s="1" t="s">
        <v>8</v>
      </c>
      <c r="G444" s="1">
        <v>30</v>
      </c>
      <c r="H444" s="1" t="s">
        <v>37</v>
      </c>
      <c r="I444" s="1" t="s">
        <v>37</v>
      </c>
      <c r="J444" s="1" t="s">
        <v>38</v>
      </c>
      <c r="K444" s="1">
        <v>29.999077930635799</v>
      </c>
      <c r="L444" s="1" t="s">
        <v>40</v>
      </c>
    </row>
    <row r="445" spans="1:12" x14ac:dyDescent="0.45">
      <c r="A445" s="1" t="s">
        <v>121</v>
      </c>
      <c r="B445" s="1" t="s">
        <v>11</v>
      </c>
      <c r="C445" s="1" t="s">
        <v>41</v>
      </c>
      <c r="D445" s="1" t="s">
        <v>35</v>
      </c>
      <c r="E445" s="1" t="s">
        <v>36</v>
      </c>
      <c r="F445" s="1" t="s">
        <v>8</v>
      </c>
      <c r="G445" s="1">
        <v>29.78</v>
      </c>
      <c r="H445" s="1" t="s">
        <v>37</v>
      </c>
      <c r="I445" s="1" t="s">
        <v>37</v>
      </c>
      <c r="J445" s="1" t="s">
        <v>38</v>
      </c>
      <c r="K445" s="1">
        <v>29.7752588399714</v>
      </c>
      <c r="L445" s="1" t="s">
        <v>40</v>
      </c>
    </row>
    <row r="446" spans="1:12" x14ac:dyDescent="0.45">
      <c r="A446" s="1" t="s">
        <v>133</v>
      </c>
      <c r="B446" s="1" t="s">
        <v>11</v>
      </c>
      <c r="C446" s="1" t="s">
        <v>41</v>
      </c>
      <c r="D446" s="1" t="s">
        <v>35</v>
      </c>
      <c r="E446" s="1" t="s">
        <v>36</v>
      </c>
      <c r="F446" s="1" t="s">
        <v>8</v>
      </c>
      <c r="G446" s="1">
        <v>30.17</v>
      </c>
      <c r="H446" s="1" t="s">
        <v>37</v>
      </c>
      <c r="I446" s="1" t="s">
        <v>37</v>
      </c>
      <c r="J446" s="1" t="s">
        <v>38</v>
      </c>
      <c r="K446" s="1">
        <v>30.166424055496801</v>
      </c>
      <c r="L446" s="1" t="s">
        <v>40</v>
      </c>
    </row>
    <row r="448" spans="1:12" x14ac:dyDescent="0.45">
      <c r="A448" t="s">
        <v>153</v>
      </c>
      <c r="B448" t="s">
        <v>152</v>
      </c>
      <c r="C448" s="2">
        <v>45763</v>
      </c>
    </row>
    <row r="449" spans="1:14" x14ac:dyDescent="0.45">
      <c r="A449" s="1" t="s">
        <v>48</v>
      </c>
      <c r="B449" s="1" t="s">
        <v>0</v>
      </c>
      <c r="C449" s="1" t="s">
        <v>1</v>
      </c>
      <c r="D449" s="1" t="s">
        <v>25</v>
      </c>
      <c r="E449" s="1" t="s">
        <v>26</v>
      </c>
      <c r="F449" s="1" t="s">
        <v>27</v>
      </c>
      <c r="G449" s="1" t="s">
        <v>2</v>
      </c>
      <c r="H449" s="1" t="s">
        <v>29</v>
      </c>
      <c r="I449" s="1" t="s">
        <v>30</v>
      </c>
      <c r="J449" s="1" t="s">
        <v>31</v>
      </c>
      <c r="K449" s="1" t="s">
        <v>32</v>
      </c>
      <c r="L449" s="1" t="s">
        <v>33</v>
      </c>
      <c r="M449" s="1" t="s">
        <v>34</v>
      </c>
      <c r="N449" s="1"/>
    </row>
    <row r="450" spans="1:14" x14ac:dyDescent="0.45">
      <c r="A450" s="1" t="s">
        <v>62</v>
      </c>
      <c r="B450" s="1" t="s">
        <v>15</v>
      </c>
      <c r="C450" s="1">
        <v>1</v>
      </c>
      <c r="D450" s="1" t="s">
        <v>35</v>
      </c>
      <c r="E450" s="1" t="s">
        <v>36</v>
      </c>
      <c r="F450" s="1" t="s">
        <v>8</v>
      </c>
      <c r="G450" s="1">
        <v>37.43</v>
      </c>
      <c r="H450" s="1" t="s">
        <v>37</v>
      </c>
      <c r="I450" s="1" t="s">
        <v>37</v>
      </c>
      <c r="J450" s="1" t="s">
        <v>37</v>
      </c>
      <c r="K450" s="1" t="s">
        <v>38</v>
      </c>
      <c r="L450" s="1">
        <v>37.431552045051198</v>
      </c>
      <c r="M450" s="1" t="s">
        <v>40</v>
      </c>
      <c r="N450" s="1"/>
    </row>
    <row r="451" spans="1:14" x14ac:dyDescent="0.45">
      <c r="A451" s="1" t="s">
        <v>74</v>
      </c>
      <c r="B451" s="1" t="s">
        <v>15</v>
      </c>
      <c r="C451" s="1">
        <v>1</v>
      </c>
      <c r="D451" s="1" t="s">
        <v>35</v>
      </c>
      <c r="E451" s="1" t="s">
        <v>36</v>
      </c>
      <c r="F451" s="1" t="s">
        <v>8</v>
      </c>
      <c r="G451" s="1">
        <v>37.92</v>
      </c>
      <c r="H451" s="1" t="s">
        <v>37</v>
      </c>
      <c r="I451" s="1" t="s">
        <v>37</v>
      </c>
      <c r="J451" s="1" t="s">
        <v>37</v>
      </c>
      <c r="K451" s="1" t="s">
        <v>38</v>
      </c>
      <c r="L451" s="1">
        <v>37.918002020133997</v>
      </c>
      <c r="M451" s="1" t="s">
        <v>40</v>
      </c>
      <c r="N451" s="1"/>
    </row>
    <row r="452" spans="1:14" x14ac:dyDescent="0.45">
      <c r="A452" s="1" t="s">
        <v>86</v>
      </c>
      <c r="B452" s="1" t="s">
        <v>15</v>
      </c>
      <c r="C452" s="1">
        <v>1</v>
      </c>
      <c r="D452" s="1" t="s">
        <v>35</v>
      </c>
      <c r="E452" s="1" t="s">
        <v>36</v>
      </c>
      <c r="F452" s="1" t="s">
        <v>8</v>
      </c>
      <c r="G452" s="1">
        <v>37.270000000000003</v>
      </c>
      <c r="H452" s="1" t="s">
        <v>37</v>
      </c>
      <c r="I452" s="1" t="s">
        <v>37</v>
      </c>
      <c r="J452" s="1" t="s">
        <v>37</v>
      </c>
      <c r="K452" s="1" t="s">
        <v>38</v>
      </c>
      <c r="L452" s="1">
        <v>37.266926829843598</v>
      </c>
      <c r="M452" s="1" t="s">
        <v>40</v>
      </c>
      <c r="N452" s="1"/>
    </row>
    <row r="453" spans="1:14" x14ac:dyDescent="0.45">
      <c r="A453" s="1" t="s">
        <v>98</v>
      </c>
      <c r="B453" s="1" t="s">
        <v>15</v>
      </c>
      <c r="C453" s="1">
        <v>2</v>
      </c>
      <c r="D453" s="1" t="s">
        <v>35</v>
      </c>
      <c r="E453" s="1" t="s">
        <v>36</v>
      </c>
      <c r="F453" s="1" t="s">
        <v>8</v>
      </c>
      <c r="G453" s="1" t="s">
        <v>9</v>
      </c>
      <c r="H453" s="1" t="s">
        <v>37</v>
      </c>
      <c r="I453" s="1" t="s">
        <v>37</v>
      </c>
      <c r="J453" s="1" t="s">
        <v>37</v>
      </c>
      <c r="K453" s="1" t="s">
        <v>38</v>
      </c>
      <c r="L453" s="1" t="s">
        <v>39</v>
      </c>
      <c r="M453" s="1" t="s">
        <v>40</v>
      </c>
      <c r="N453" s="1"/>
    </row>
    <row r="454" spans="1:14" x14ac:dyDescent="0.45">
      <c r="A454" s="1" t="s">
        <v>110</v>
      </c>
      <c r="B454" s="1" t="s">
        <v>15</v>
      </c>
      <c r="C454" s="1">
        <v>2</v>
      </c>
      <c r="D454" s="1" t="s">
        <v>35</v>
      </c>
      <c r="E454" s="1" t="s">
        <v>36</v>
      </c>
      <c r="F454" s="1" t="s">
        <v>8</v>
      </c>
      <c r="G454" s="1">
        <v>36.409999999999997</v>
      </c>
      <c r="H454" s="1" t="s">
        <v>37</v>
      </c>
      <c r="I454" s="1" t="s">
        <v>37</v>
      </c>
      <c r="J454" s="1" t="s">
        <v>37</v>
      </c>
      <c r="K454" s="1" t="s">
        <v>38</v>
      </c>
      <c r="L454" s="1">
        <v>36.405465846703699</v>
      </c>
      <c r="M454" s="1" t="s">
        <v>40</v>
      </c>
      <c r="N454" s="1"/>
    </row>
    <row r="455" spans="1:14" x14ac:dyDescent="0.45">
      <c r="A455" s="1" t="s">
        <v>122</v>
      </c>
      <c r="B455" s="1" t="s">
        <v>15</v>
      </c>
      <c r="C455" s="1">
        <v>2</v>
      </c>
      <c r="D455" s="1" t="s">
        <v>35</v>
      </c>
      <c r="E455" s="1" t="s">
        <v>36</v>
      </c>
      <c r="F455" s="1" t="s">
        <v>8</v>
      </c>
      <c r="G455" s="1">
        <v>35.89</v>
      </c>
      <c r="H455" s="1" t="s">
        <v>37</v>
      </c>
      <c r="I455" s="1" t="s">
        <v>37</v>
      </c>
      <c r="J455" s="1" t="s">
        <v>37</v>
      </c>
      <c r="K455" s="1" t="s">
        <v>38</v>
      </c>
      <c r="L455" s="1">
        <v>35.890327885312203</v>
      </c>
      <c r="M455" s="1" t="s">
        <v>40</v>
      </c>
      <c r="N455" s="1"/>
    </row>
    <row r="456" spans="1:14" x14ac:dyDescent="0.45">
      <c r="A456" s="1" t="s">
        <v>51</v>
      </c>
      <c r="B456" s="1" t="s">
        <v>15</v>
      </c>
      <c r="C456" s="1">
        <v>3</v>
      </c>
      <c r="D456" s="1" t="s">
        <v>35</v>
      </c>
      <c r="E456" s="1" t="s">
        <v>36</v>
      </c>
      <c r="F456" s="1" t="s">
        <v>8</v>
      </c>
      <c r="G456" s="1">
        <v>37.74</v>
      </c>
      <c r="H456" s="1" t="s">
        <v>37</v>
      </c>
      <c r="I456" s="1" t="s">
        <v>37</v>
      </c>
      <c r="J456" s="1" t="s">
        <v>37</v>
      </c>
      <c r="K456" s="1" t="s">
        <v>38</v>
      </c>
      <c r="L456" s="1">
        <v>37.744720899586802</v>
      </c>
      <c r="M456" s="1" t="s">
        <v>40</v>
      </c>
      <c r="N456" s="1"/>
    </row>
    <row r="457" spans="1:14" x14ac:dyDescent="0.45">
      <c r="A457" s="1" t="s">
        <v>63</v>
      </c>
      <c r="B457" s="1" t="s">
        <v>15</v>
      </c>
      <c r="C457" s="1">
        <v>3</v>
      </c>
      <c r="D457" s="1" t="s">
        <v>35</v>
      </c>
      <c r="E457" s="1" t="s">
        <v>36</v>
      </c>
      <c r="F457" s="1" t="s">
        <v>8</v>
      </c>
      <c r="G457" s="1" t="s">
        <v>9</v>
      </c>
      <c r="H457" s="1" t="s">
        <v>37</v>
      </c>
      <c r="I457" s="1" t="s">
        <v>37</v>
      </c>
      <c r="J457" s="1" t="s">
        <v>37</v>
      </c>
      <c r="K457" s="1" t="s">
        <v>38</v>
      </c>
      <c r="L457" s="1" t="s">
        <v>39</v>
      </c>
      <c r="M457" s="1" t="s">
        <v>40</v>
      </c>
      <c r="N457" s="1"/>
    </row>
    <row r="458" spans="1:14" x14ac:dyDescent="0.45">
      <c r="A458" s="1" t="s">
        <v>134</v>
      </c>
      <c r="B458" s="1" t="s">
        <v>15</v>
      </c>
      <c r="C458" s="1">
        <v>3</v>
      </c>
      <c r="D458" s="1" t="s">
        <v>35</v>
      </c>
      <c r="E458" s="1" t="s">
        <v>36</v>
      </c>
      <c r="F458" s="1" t="s">
        <v>8</v>
      </c>
      <c r="G458" s="1" t="s">
        <v>9</v>
      </c>
      <c r="H458" s="1" t="s">
        <v>37</v>
      </c>
      <c r="I458" s="1" t="s">
        <v>37</v>
      </c>
      <c r="J458" s="1" t="s">
        <v>37</v>
      </c>
      <c r="K458" s="1" t="s">
        <v>38</v>
      </c>
      <c r="L458" s="1" t="s">
        <v>39</v>
      </c>
      <c r="M458" s="1" t="s">
        <v>40</v>
      </c>
      <c r="N458" s="1"/>
    </row>
    <row r="459" spans="1:14" x14ac:dyDescent="0.45">
      <c r="A459" s="1" t="s">
        <v>75</v>
      </c>
      <c r="B459" s="1" t="s">
        <v>15</v>
      </c>
      <c r="C459" s="1">
        <v>4</v>
      </c>
      <c r="D459" s="1" t="s">
        <v>35</v>
      </c>
      <c r="E459" s="1" t="s">
        <v>36</v>
      </c>
      <c r="F459" s="1" t="s">
        <v>8</v>
      </c>
      <c r="G459" s="1">
        <v>37.9</v>
      </c>
      <c r="H459" s="1" t="s">
        <v>37</v>
      </c>
      <c r="I459" s="1" t="s">
        <v>37</v>
      </c>
      <c r="J459" s="1" t="s">
        <v>37</v>
      </c>
      <c r="K459" s="1" t="s">
        <v>38</v>
      </c>
      <c r="L459" s="1">
        <v>37.899502343991301</v>
      </c>
      <c r="M459" s="1" t="s">
        <v>40</v>
      </c>
      <c r="N459" s="1"/>
    </row>
    <row r="460" spans="1:14" x14ac:dyDescent="0.45">
      <c r="A460" s="1" t="s">
        <v>87</v>
      </c>
      <c r="B460" s="1" t="s">
        <v>15</v>
      </c>
      <c r="C460" s="1">
        <v>4</v>
      </c>
      <c r="D460" s="1" t="s">
        <v>35</v>
      </c>
      <c r="E460" s="1" t="s">
        <v>36</v>
      </c>
      <c r="F460" s="1" t="s">
        <v>8</v>
      </c>
      <c r="G460" s="1" t="s">
        <v>9</v>
      </c>
      <c r="H460" s="1" t="s">
        <v>37</v>
      </c>
      <c r="I460" s="1" t="s">
        <v>37</v>
      </c>
      <c r="J460" s="1" t="s">
        <v>37</v>
      </c>
      <c r="K460" s="1" t="s">
        <v>38</v>
      </c>
      <c r="L460" s="1" t="s">
        <v>39</v>
      </c>
      <c r="M460" s="1" t="s">
        <v>40</v>
      </c>
      <c r="N460" s="1"/>
    </row>
    <row r="461" spans="1:14" x14ac:dyDescent="0.45">
      <c r="A461" s="1" t="s">
        <v>99</v>
      </c>
      <c r="B461" s="1" t="s">
        <v>15</v>
      </c>
      <c r="C461" s="1">
        <v>4</v>
      </c>
      <c r="D461" s="1" t="s">
        <v>35</v>
      </c>
      <c r="E461" s="1" t="s">
        <v>36</v>
      </c>
      <c r="F461" s="1" t="s">
        <v>8</v>
      </c>
      <c r="G461" s="1" t="s">
        <v>9</v>
      </c>
      <c r="H461" s="1" t="s">
        <v>37</v>
      </c>
      <c r="I461" s="1" t="s">
        <v>37</v>
      </c>
      <c r="J461" s="1" t="s">
        <v>37</v>
      </c>
      <c r="K461" s="1" t="s">
        <v>38</v>
      </c>
      <c r="L461" s="1" t="s">
        <v>39</v>
      </c>
      <c r="M461" s="1" t="s">
        <v>40</v>
      </c>
      <c r="N461" s="1"/>
    </row>
    <row r="462" spans="1:14" x14ac:dyDescent="0.45">
      <c r="A462" s="1" t="s">
        <v>111</v>
      </c>
      <c r="B462" s="1" t="s">
        <v>15</v>
      </c>
      <c r="C462" s="1">
        <v>5</v>
      </c>
      <c r="D462" s="1" t="s">
        <v>35</v>
      </c>
      <c r="E462" s="1" t="s">
        <v>36</v>
      </c>
      <c r="F462" s="1" t="s">
        <v>8</v>
      </c>
      <c r="G462" s="1" t="s">
        <v>9</v>
      </c>
      <c r="H462" s="1" t="s">
        <v>37</v>
      </c>
      <c r="I462" s="1" t="s">
        <v>37</v>
      </c>
      <c r="J462" s="1" t="s">
        <v>37</v>
      </c>
      <c r="K462" s="1" t="s">
        <v>38</v>
      </c>
      <c r="L462" s="1" t="s">
        <v>39</v>
      </c>
      <c r="M462" s="1" t="s">
        <v>40</v>
      </c>
      <c r="N462" s="1"/>
    </row>
    <row r="463" spans="1:14" x14ac:dyDescent="0.45">
      <c r="A463" s="1" t="s">
        <v>123</v>
      </c>
      <c r="B463" s="1" t="s">
        <v>15</v>
      </c>
      <c r="C463" s="1">
        <v>5</v>
      </c>
      <c r="D463" s="1" t="s">
        <v>35</v>
      </c>
      <c r="E463" s="1" t="s">
        <v>36</v>
      </c>
      <c r="F463" s="1" t="s">
        <v>8</v>
      </c>
      <c r="G463" s="1">
        <v>37.61</v>
      </c>
      <c r="H463" s="1" t="s">
        <v>37</v>
      </c>
      <c r="I463" s="1" t="s">
        <v>37</v>
      </c>
      <c r="J463" s="1" t="s">
        <v>37</v>
      </c>
      <c r="K463" s="1" t="s">
        <v>38</v>
      </c>
      <c r="L463" s="1">
        <v>37.610437097878602</v>
      </c>
      <c r="M463" s="1" t="s">
        <v>40</v>
      </c>
      <c r="N463" s="1"/>
    </row>
    <row r="464" spans="1:14" x14ac:dyDescent="0.45">
      <c r="A464" s="1" t="s">
        <v>135</v>
      </c>
      <c r="B464" s="1" t="s">
        <v>15</v>
      </c>
      <c r="C464" s="1">
        <v>5</v>
      </c>
      <c r="D464" s="1" t="s">
        <v>35</v>
      </c>
      <c r="E464" s="1" t="s">
        <v>36</v>
      </c>
      <c r="F464" s="1" t="s">
        <v>8</v>
      </c>
      <c r="G464" s="1" t="s">
        <v>9</v>
      </c>
      <c r="H464" s="1" t="s">
        <v>37</v>
      </c>
      <c r="I464" s="1" t="s">
        <v>37</v>
      </c>
      <c r="J464" s="1" t="s">
        <v>37</v>
      </c>
      <c r="K464" s="1" t="s">
        <v>38</v>
      </c>
      <c r="L464" s="1" t="s">
        <v>39</v>
      </c>
      <c r="M464" s="1" t="s">
        <v>40</v>
      </c>
      <c r="N464" s="1"/>
    </row>
    <row r="465" spans="1:14" x14ac:dyDescent="0.45">
      <c r="A465" s="1" t="s">
        <v>52</v>
      </c>
      <c r="B465" s="1" t="s">
        <v>15</v>
      </c>
      <c r="C465" s="1">
        <v>6</v>
      </c>
      <c r="D465" s="1" t="s">
        <v>35</v>
      </c>
      <c r="E465" s="1" t="s">
        <v>36</v>
      </c>
      <c r="F465" s="1" t="s">
        <v>8</v>
      </c>
      <c r="G465" s="1" t="s">
        <v>9</v>
      </c>
      <c r="H465" s="1" t="s">
        <v>37</v>
      </c>
      <c r="I465" s="1" t="s">
        <v>37</v>
      </c>
      <c r="J465" s="1" t="s">
        <v>37</v>
      </c>
      <c r="K465" s="1" t="s">
        <v>38</v>
      </c>
      <c r="L465" s="1" t="s">
        <v>39</v>
      </c>
      <c r="M465" s="1" t="s">
        <v>40</v>
      </c>
      <c r="N465" s="1"/>
    </row>
    <row r="466" spans="1:14" x14ac:dyDescent="0.45">
      <c r="A466" s="1" t="s">
        <v>64</v>
      </c>
      <c r="B466" s="1" t="s">
        <v>15</v>
      </c>
      <c r="C466" s="1">
        <v>6</v>
      </c>
      <c r="D466" s="1" t="s">
        <v>35</v>
      </c>
      <c r="E466" s="1" t="s">
        <v>36</v>
      </c>
      <c r="F466" s="1" t="s">
        <v>8</v>
      </c>
      <c r="G466" s="1" t="s">
        <v>9</v>
      </c>
      <c r="H466" s="1" t="s">
        <v>37</v>
      </c>
      <c r="I466" s="1" t="s">
        <v>37</v>
      </c>
      <c r="J466" s="1" t="s">
        <v>37</v>
      </c>
      <c r="K466" s="1" t="s">
        <v>38</v>
      </c>
      <c r="L466" s="1" t="s">
        <v>39</v>
      </c>
      <c r="M466" s="1" t="s">
        <v>40</v>
      </c>
      <c r="N466" s="1"/>
    </row>
    <row r="467" spans="1:14" x14ac:dyDescent="0.45">
      <c r="A467" s="1" t="s">
        <v>76</v>
      </c>
      <c r="B467" s="1" t="s">
        <v>15</v>
      </c>
      <c r="C467" s="1">
        <v>6</v>
      </c>
      <c r="D467" s="1" t="s">
        <v>35</v>
      </c>
      <c r="E467" s="1" t="s">
        <v>36</v>
      </c>
      <c r="F467" s="1" t="s">
        <v>8</v>
      </c>
      <c r="G467" s="1" t="s">
        <v>9</v>
      </c>
      <c r="H467" s="1" t="s">
        <v>37</v>
      </c>
      <c r="I467" s="1" t="s">
        <v>37</v>
      </c>
      <c r="J467" s="1" t="s">
        <v>37</v>
      </c>
      <c r="K467" s="1" t="s">
        <v>38</v>
      </c>
      <c r="L467" s="1" t="s">
        <v>39</v>
      </c>
      <c r="M467" s="1" t="s">
        <v>40</v>
      </c>
      <c r="N467" s="1"/>
    </row>
    <row r="468" spans="1:14" x14ac:dyDescent="0.45">
      <c r="A468" s="1" t="s">
        <v>88</v>
      </c>
      <c r="B468" s="1" t="s">
        <v>15</v>
      </c>
      <c r="C468" s="1">
        <v>7</v>
      </c>
      <c r="D468" s="1" t="s">
        <v>35</v>
      </c>
      <c r="E468" s="1" t="s">
        <v>36</v>
      </c>
      <c r="F468" s="1" t="s">
        <v>8</v>
      </c>
      <c r="G468" s="1" t="s">
        <v>9</v>
      </c>
      <c r="H468" s="1" t="s">
        <v>37</v>
      </c>
      <c r="I468" s="1" t="s">
        <v>37</v>
      </c>
      <c r="J468" s="1" t="s">
        <v>37</v>
      </c>
      <c r="K468" s="1" t="s">
        <v>38</v>
      </c>
      <c r="L468" s="1" t="s">
        <v>39</v>
      </c>
      <c r="M468" s="1" t="s">
        <v>40</v>
      </c>
      <c r="N468" s="1"/>
    </row>
    <row r="469" spans="1:14" x14ac:dyDescent="0.45">
      <c r="A469" s="1" t="s">
        <v>100</v>
      </c>
      <c r="B469" s="1" t="s">
        <v>15</v>
      </c>
      <c r="C469" s="1">
        <v>7</v>
      </c>
      <c r="D469" s="1" t="s">
        <v>35</v>
      </c>
      <c r="E469" s="1" t="s">
        <v>36</v>
      </c>
      <c r="F469" s="1" t="s">
        <v>8</v>
      </c>
      <c r="G469" s="1" t="s">
        <v>9</v>
      </c>
      <c r="H469" s="1" t="s">
        <v>37</v>
      </c>
      <c r="I469" s="1" t="s">
        <v>37</v>
      </c>
      <c r="J469" s="1" t="s">
        <v>37</v>
      </c>
      <c r="K469" s="1" t="s">
        <v>38</v>
      </c>
      <c r="L469" s="1" t="s">
        <v>39</v>
      </c>
      <c r="M469" s="1" t="s">
        <v>40</v>
      </c>
      <c r="N469" s="1"/>
    </row>
    <row r="470" spans="1:14" x14ac:dyDescent="0.45">
      <c r="A470" s="1" t="s">
        <v>112</v>
      </c>
      <c r="B470" s="1" t="s">
        <v>15</v>
      </c>
      <c r="C470" s="1">
        <v>7</v>
      </c>
      <c r="D470" s="1" t="s">
        <v>35</v>
      </c>
      <c r="E470" s="1" t="s">
        <v>36</v>
      </c>
      <c r="F470" s="1" t="s">
        <v>8</v>
      </c>
      <c r="G470" s="1">
        <v>36.26</v>
      </c>
      <c r="H470" s="1" t="s">
        <v>37</v>
      </c>
      <c r="I470" s="1" t="s">
        <v>37</v>
      </c>
      <c r="J470" s="1" t="s">
        <v>37</v>
      </c>
      <c r="K470" s="1" t="s">
        <v>38</v>
      </c>
      <c r="L470" s="1">
        <v>36.260823360869999</v>
      </c>
      <c r="M470" s="1" t="s">
        <v>40</v>
      </c>
      <c r="N470" s="1"/>
    </row>
    <row r="471" spans="1:14" x14ac:dyDescent="0.45">
      <c r="A471" s="1" t="s">
        <v>53</v>
      </c>
      <c r="B471" s="1" t="s">
        <v>15</v>
      </c>
      <c r="C471" s="1">
        <v>8</v>
      </c>
      <c r="D471" s="1" t="s">
        <v>35</v>
      </c>
      <c r="E471" s="1" t="s">
        <v>36</v>
      </c>
      <c r="F471" s="1" t="s">
        <v>8</v>
      </c>
      <c r="G471" s="1" t="s">
        <v>9</v>
      </c>
      <c r="H471" s="1" t="s">
        <v>37</v>
      </c>
      <c r="I471" s="1" t="s">
        <v>37</v>
      </c>
      <c r="J471" s="1" t="s">
        <v>37</v>
      </c>
      <c r="K471" s="1" t="s">
        <v>38</v>
      </c>
      <c r="L471" s="1" t="s">
        <v>39</v>
      </c>
      <c r="M471" s="1" t="s">
        <v>40</v>
      </c>
      <c r="N471" s="1"/>
    </row>
    <row r="472" spans="1:14" x14ac:dyDescent="0.45">
      <c r="A472" s="1" t="s">
        <v>124</v>
      </c>
      <c r="B472" s="1" t="s">
        <v>15</v>
      </c>
      <c r="C472" s="1">
        <v>8</v>
      </c>
      <c r="D472" s="1" t="s">
        <v>35</v>
      </c>
      <c r="E472" s="1" t="s">
        <v>36</v>
      </c>
      <c r="F472" s="1" t="s">
        <v>8</v>
      </c>
      <c r="G472" s="1" t="s">
        <v>9</v>
      </c>
      <c r="H472" s="1" t="s">
        <v>37</v>
      </c>
      <c r="I472" s="1" t="s">
        <v>37</v>
      </c>
      <c r="J472" s="1" t="s">
        <v>37</v>
      </c>
      <c r="K472" s="1" t="s">
        <v>38</v>
      </c>
      <c r="L472" s="1" t="s">
        <v>39</v>
      </c>
      <c r="M472" s="1" t="s">
        <v>40</v>
      </c>
      <c r="N472" s="1"/>
    </row>
    <row r="473" spans="1:14" x14ac:dyDescent="0.45">
      <c r="A473" s="1" t="s">
        <v>136</v>
      </c>
      <c r="B473" s="1" t="s">
        <v>15</v>
      </c>
      <c r="C473" s="1">
        <v>8</v>
      </c>
      <c r="D473" s="1" t="s">
        <v>35</v>
      </c>
      <c r="E473" s="1" t="s">
        <v>36</v>
      </c>
      <c r="F473" s="1" t="s">
        <v>8</v>
      </c>
      <c r="G473" s="1" t="s">
        <v>9</v>
      </c>
      <c r="H473" s="1" t="s">
        <v>37</v>
      </c>
      <c r="I473" s="1" t="s">
        <v>37</v>
      </c>
      <c r="J473" s="1" t="s">
        <v>37</v>
      </c>
      <c r="K473" s="1" t="s">
        <v>38</v>
      </c>
      <c r="L473" s="1" t="s">
        <v>39</v>
      </c>
      <c r="M473" s="1" t="s">
        <v>40</v>
      </c>
      <c r="N473" s="1"/>
    </row>
    <row r="474" spans="1:14" x14ac:dyDescent="0.45">
      <c r="A474" s="1" t="s">
        <v>65</v>
      </c>
      <c r="B474" s="1" t="s">
        <v>15</v>
      </c>
      <c r="C474" s="1">
        <v>9</v>
      </c>
      <c r="D474" s="1" t="s">
        <v>35</v>
      </c>
      <c r="E474" s="1" t="s">
        <v>36</v>
      </c>
      <c r="F474" s="1" t="s">
        <v>8</v>
      </c>
      <c r="G474" s="1">
        <v>36.14</v>
      </c>
      <c r="H474" s="1" t="s">
        <v>37</v>
      </c>
      <c r="I474" s="1" t="s">
        <v>37</v>
      </c>
      <c r="J474" s="1" t="s">
        <v>37</v>
      </c>
      <c r="K474" s="1" t="s">
        <v>38</v>
      </c>
      <c r="L474" s="1">
        <v>36.135707037526302</v>
      </c>
      <c r="M474" s="1" t="s">
        <v>40</v>
      </c>
      <c r="N474" s="1"/>
    </row>
    <row r="475" spans="1:14" x14ac:dyDescent="0.45">
      <c r="A475" s="1" t="s">
        <v>77</v>
      </c>
      <c r="B475" s="1" t="s">
        <v>15</v>
      </c>
      <c r="C475" s="1">
        <v>9</v>
      </c>
      <c r="D475" s="1" t="s">
        <v>35</v>
      </c>
      <c r="E475" s="1" t="s">
        <v>36</v>
      </c>
      <c r="F475" s="1" t="s">
        <v>8</v>
      </c>
      <c r="G475" s="1">
        <v>37.07</v>
      </c>
      <c r="H475" s="1" t="s">
        <v>37</v>
      </c>
      <c r="I475" s="1" t="s">
        <v>37</v>
      </c>
      <c r="J475" s="1" t="s">
        <v>37</v>
      </c>
      <c r="K475" s="1" t="s">
        <v>38</v>
      </c>
      <c r="L475" s="1">
        <v>37.070067767573697</v>
      </c>
      <c r="M475" s="1" t="s">
        <v>40</v>
      </c>
      <c r="N475" s="1"/>
    </row>
    <row r="476" spans="1:14" x14ac:dyDescent="0.45">
      <c r="A476" s="1" t="s">
        <v>89</v>
      </c>
      <c r="B476" s="1" t="s">
        <v>15</v>
      </c>
      <c r="C476" s="1">
        <v>9</v>
      </c>
      <c r="D476" s="1" t="s">
        <v>35</v>
      </c>
      <c r="E476" s="1" t="s">
        <v>36</v>
      </c>
      <c r="F476" s="1" t="s">
        <v>8</v>
      </c>
      <c r="G476" s="1">
        <v>37.549999999999997</v>
      </c>
      <c r="H476" s="1" t="s">
        <v>37</v>
      </c>
      <c r="I476" s="1" t="s">
        <v>37</v>
      </c>
      <c r="J476" s="1" t="s">
        <v>37</v>
      </c>
      <c r="K476" s="1" t="s">
        <v>38</v>
      </c>
      <c r="L476" s="1">
        <v>37.545438416469899</v>
      </c>
      <c r="M476" s="1" t="s">
        <v>40</v>
      </c>
      <c r="N476" s="1"/>
    </row>
    <row r="477" spans="1:14" x14ac:dyDescent="0.45">
      <c r="A477" s="1" t="s">
        <v>101</v>
      </c>
      <c r="B477" s="1" t="s">
        <v>15</v>
      </c>
      <c r="C477" s="1">
        <v>10</v>
      </c>
      <c r="D477" s="1" t="s">
        <v>35</v>
      </c>
      <c r="E477" s="1" t="s">
        <v>36</v>
      </c>
      <c r="F477" s="1" t="s">
        <v>8</v>
      </c>
      <c r="G477" s="1" t="s">
        <v>9</v>
      </c>
      <c r="H477" s="1" t="s">
        <v>37</v>
      </c>
      <c r="I477" s="1" t="s">
        <v>37</v>
      </c>
      <c r="J477" s="1" t="s">
        <v>37</v>
      </c>
      <c r="K477" s="1" t="s">
        <v>38</v>
      </c>
      <c r="L477" s="1" t="s">
        <v>39</v>
      </c>
      <c r="M477" s="1" t="s">
        <v>40</v>
      </c>
      <c r="N477" s="1"/>
    </row>
    <row r="478" spans="1:14" x14ac:dyDescent="0.45">
      <c r="A478" s="1" t="s">
        <v>113</v>
      </c>
      <c r="B478" s="1" t="s">
        <v>15</v>
      </c>
      <c r="C478" s="1">
        <v>10</v>
      </c>
      <c r="D478" s="1" t="s">
        <v>35</v>
      </c>
      <c r="E478" s="1" t="s">
        <v>36</v>
      </c>
      <c r="F478" s="1" t="s">
        <v>8</v>
      </c>
      <c r="G478" s="1">
        <v>37.450000000000003</v>
      </c>
      <c r="H478" s="1" t="s">
        <v>37</v>
      </c>
      <c r="I478" s="1" t="s">
        <v>37</v>
      </c>
      <c r="J478" s="1" t="s">
        <v>37</v>
      </c>
      <c r="K478" s="1" t="s">
        <v>38</v>
      </c>
      <c r="L478" s="1">
        <v>37.445430263482002</v>
      </c>
      <c r="M478" s="1" t="s">
        <v>40</v>
      </c>
      <c r="N478" s="1"/>
    </row>
    <row r="479" spans="1:14" x14ac:dyDescent="0.45">
      <c r="A479" s="1" t="s">
        <v>125</v>
      </c>
      <c r="B479" s="1" t="s">
        <v>15</v>
      </c>
      <c r="C479" s="1">
        <v>10</v>
      </c>
      <c r="D479" s="1" t="s">
        <v>35</v>
      </c>
      <c r="E479" s="1" t="s">
        <v>36</v>
      </c>
      <c r="F479" s="1" t="s">
        <v>8</v>
      </c>
      <c r="G479" s="1">
        <v>37.119999999999997</v>
      </c>
      <c r="H479" s="1" t="s">
        <v>37</v>
      </c>
      <c r="I479" s="1" t="s">
        <v>37</v>
      </c>
      <c r="J479" s="1" t="s">
        <v>37</v>
      </c>
      <c r="K479" s="1" t="s">
        <v>38</v>
      </c>
      <c r="L479" s="1">
        <v>37.124978297377403</v>
      </c>
      <c r="M479" s="1" t="s">
        <v>40</v>
      </c>
      <c r="N479" s="1"/>
    </row>
    <row r="480" spans="1:14" x14ac:dyDescent="0.45">
      <c r="A480" s="1" t="s">
        <v>54</v>
      </c>
      <c r="B480" s="1" t="s">
        <v>15</v>
      </c>
      <c r="C480" s="1">
        <v>11</v>
      </c>
      <c r="D480" s="1" t="s">
        <v>35</v>
      </c>
      <c r="E480" s="1" t="s">
        <v>36</v>
      </c>
      <c r="F480" s="1" t="s">
        <v>8</v>
      </c>
      <c r="G480" s="1" t="s">
        <v>9</v>
      </c>
      <c r="H480" s="1" t="s">
        <v>37</v>
      </c>
      <c r="I480" s="1" t="s">
        <v>37</v>
      </c>
      <c r="J480" s="1" t="s">
        <v>37</v>
      </c>
      <c r="K480" s="1" t="s">
        <v>38</v>
      </c>
      <c r="L480" s="1" t="s">
        <v>39</v>
      </c>
      <c r="M480" s="1" t="s">
        <v>40</v>
      </c>
      <c r="N480" s="1"/>
    </row>
    <row r="481" spans="1:14" x14ac:dyDescent="0.45">
      <c r="A481" s="1" t="s">
        <v>66</v>
      </c>
      <c r="B481" s="1" t="s">
        <v>15</v>
      </c>
      <c r="C481" s="1">
        <v>11</v>
      </c>
      <c r="D481" s="1" t="s">
        <v>35</v>
      </c>
      <c r="E481" s="1" t="s">
        <v>36</v>
      </c>
      <c r="F481" s="1" t="s">
        <v>8</v>
      </c>
      <c r="G481" s="1">
        <v>35.92</v>
      </c>
      <c r="H481" s="1" t="s">
        <v>37</v>
      </c>
      <c r="I481" s="1" t="s">
        <v>37</v>
      </c>
      <c r="J481" s="1" t="s">
        <v>37</v>
      </c>
      <c r="K481" s="1" t="s">
        <v>38</v>
      </c>
      <c r="L481" s="1">
        <v>35.9203755471842</v>
      </c>
      <c r="M481" s="1" t="s">
        <v>40</v>
      </c>
      <c r="N481" s="1"/>
    </row>
    <row r="482" spans="1:14" x14ac:dyDescent="0.45">
      <c r="A482" s="1" t="s">
        <v>137</v>
      </c>
      <c r="B482" s="1" t="s">
        <v>15</v>
      </c>
      <c r="C482" s="1">
        <v>11</v>
      </c>
      <c r="D482" s="1" t="s">
        <v>35</v>
      </c>
      <c r="E482" s="1" t="s">
        <v>36</v>
      </c>
      <c r="F482" s="1" t="s">
        <v>8</v>
      </c>
      <c r="G482" s="1">
        <v>37.130000000000003</v>
      </c>
      <c r="H482" s="1" t="s">
        <v>37</v>
      </c>
      <c r="I482" s="1" t="s">
        <v>37</v>
      </c>
      <c r="J482" s="1" t="s">
        <v>37</v>
      </c>
      <c r="K482" s="1" t="s">
        <v>38</v>
      </c>
      <c r="L482" s="1">
        <v>37.130291250587298</v>
      </c>
      <c r="M482" s="1" t="s">
        <v>40</v>
      </c>
      <c r="N482" s="1"/>
    </row>
    <row r="483" spans="1:14" x14ac:dyDescent="0.45">
      <c r="A483" s="1" t="s">
        <v>78</v>
      </c>
      <c r="B483" s="1" t="s">
        <v>15</v>
      </c>
      <c r="C483" s="1">
        <v>12</v>
      </c>
      <c r="D483" s="1" t="s">
        <v>35</v>
      </c>
      <c r="E483" s="1" t="s">
        <v>36</v>
      </c>
      <c r="F483" s="1" t="s">
        <v>8</v>
      </c>
      <c r="G483" s="1" t="s">
        <v>9</v>
      </c>
      <c r="H483" s="1" t="s">
        <v>37</v>
      </c>
      <c r="I483" s="1" t="s">
        <v>37</v>
      </c>
      <c r="J483" s="1" t="s">
        <v>37</v>
      </c>
      <c r="K483" s="1" t="s">
        <v>38</v>
      </c>
      <c r="L483" s="1" t="s">
        <v>39</v>
      </c>
      <c r="M483" s="1" t="s">
        <v>40</v>
      </c>
      <c r="N483" s="1"/>
    </row>
    <row r="484" spans="1:14" x14ac:dyDescent="0.45">
      <c r="A484" s="1" t="s">
        <v>90</v>
      </c>
      <c r="B484" s="1" t="s">
        <v>15</v>
      </c>
      <c r="C484" s="1">
        <v>12</v>
      </c>
      <c r="D484" s="1" t="s">
        <v>35</v>
      </c>
      <c r="E484" s="1" t="s">
        <v>36</v>
      </c>
      <c r="F484" s="1" t="s">
        <v>8</v>
      </c>
      <c r="G484" s="1" t="s">
        <v>9</v>
      </c>
      <c r="H484" s="1" t="s">
        <v>37</v>
      </c>
      <c r="I484" s="1" t="s">
        <v>37</v>
      </c>
      <c r="J484" s="1" t="s">
        <v>37</v>
      </c>
      <c r="K484" s="1" t="s">
        <v>38</v>
      </c>
      <c r="L484" s="1" t="s">
        <v>39</v>
      </c>
      <c r="M484" s="1" t="s">
        <v>40</v>
      </c>
      <c r="N484" s="1"/>
    </row>
    <row r="485" spans="1:14" x14ac:dyDescent="0.45">
      <c r="A485" s="1" t="s">
        <v>102</v>
      </c>
      <c r="B485" s="1" t="s">
        <v>15</v>
      </c>
      <c r="C485" s="1">
        <v>12</v>
      </c>
      <c r="D485" s="1" t="s">
        <v>35</v>
      </c>
      <c r="E485" s="1" t="s">
        <v>36</v>
      </c>
      <c r="F485" s="1" t="s">
        <v>8</v>
      </c>
      <c r="G485" s="1">
        <v>34.64</v>
      </c>
      <c r="H485" s="1" t="s">
        <v>37</v>
      </c>
      <c r="I485" s="1" t="s">
        <v>37</v>
      </c>
      <c r="J485" s="1" t="s">
        <v>37</v>
      </c>
      <c r="K485" s="1" t="s">
        <v>38</v>
      </c>
      <c r="L485" s="1">
        <v>34.6414724446958</v>
      </c>
      <c r="M485" s="1" t="s">
        <v>40</v>
      </c>
      <c r="N485" s="1"/>
    </row>
    <row r="486" spans="1:14" x14ac:dyDescent="0.45">
      <c r="A486" s="1" t="s">
        <v>114</v>
      </c>
      <c r="B486" s="1" t="s">
        <v>15</v>
      </c>
      <c r="C486" s="1">
        <v>13</v>
      </c>
      <c r="D486" s="1" t="s">
        <v>35</v>
      </c>
      <c r="E486" s="1" t="s">
        <v>36</v>
      </c>
      <c r="F486" s="1" t="s">
        <v>8</v>
      </c>
      <c r="G486" s="1">
        <v>36.54</v>
      </c>
      <c r="H486" s="1" t="s">
        <v>37</v>
      </c>
      <c r="I486" s="1" t="s">
        <v>37</v>
      </c>
      <c r="J486" s="1" t="s">
        <v>37</v>
      </c>
      <c r="K486" s="1" t="s">
        <v>38</v>
      </c>
      <c r="L486" s="1">
        <v>36.537710017031799</v>
      </c>
      <c r="M486" s="1" t="s">
        <v>40</v>
      </c>
      <c r="N486" s="1"/>
    </row>
    <row r="487" spans="1:14" x14ac:dyDescent="0.45">
      <c r="A487" s="1" t="s">
        <v>126</v>
      </c>
      <c r="B487" s="1" t="s">
        <v>15</v>
      </c>
      <c r="C487" s="1">
        <v>13</v>
      </c>
      <c r="D487" s="1" t="s">
        <v>35</v>
      </c>
      <c r="E487" s="1" t="s">
        <v>36</v>
      </c>
      <c r="F487" s="1" t="s">
        <v>8</v>
      </c>
      <c r="G487" s="1">
        <v>35.82</v>
      </c>
      <c r="H487" s="1" t="s">
        <v>37</v>
      </c>
      <c r="I487" s="1" t="s">
        <v>37</v>
      </c>
      <c r="J487" s="1" t="s">
        <v>37</v>
      </c>
      <c r="K487" s="1" t="s">
        <v>38</v>
      </c>
      <c r="L487" s="1">
        <v>35.8157110350881</v>
      </c>
      <c r="M487" s="1" t="s">
        <v>40</v>
      </c>
      <c r="N487" s="1"/>
    </row>
    <row r="488" spans="1:14" x14ac:dyDescent="0.45">
      <c r="A488" s="1" t="s">
        <v>138</v>
      </c>
      <c r="B488" s="1" t="s">
        <v>15</v>
      </c>
      <c r="C488" s="1">
        <v>13</v>
      </c>
      <c r="D488" s="1" t="s">
        <v>35</v>
      </c>
      <c r="E488" s="1" t="s">
        <v>36</v>
      </c>
      <c r="F488" s="1" t="s">
        <v>8</v>
      </c>
      <c r="G488" s="1">
        <v>36.67</v>
      </c>
      <c r="H488" s="1" t="s">
        <v>37</v>
      </c>
      <c r="I488" s="1" t="s">
        <v>37</v>
      </c>
      <c r="J488" s="1" t="s">
        <v>37</v>
      </c>
      <c r="K488" s="1" t="s">
        <v>38</v>
      </c>
      <c r="L488" s="1">
        <v>36.672912397495402</v>
      </c>
      <c r="M488" s="1" t="s">
        <v>40</v>
      </c>
      <c r="N488" s="1"/>
    </row>
    <row r="489" spans="1:14" x14ac:dyDescent="0.45">
      <c r="A489" s="1" t="s">
        <v>55</v>
      </c>
      <c r="B489" s="1" t="s">
        <v>15</v>
      </c>
      <c r="C489" s="1">
        <v>14</v>
      </c>
      <c r="D489" s="1" t="s">
        <v>35</v>
      </c>
      <c r="E489" s="1" t="s">
        <v>36</v>
      </c>
      <c r="F489" s="1" t="s">
        <v>8</v>
      </c>
      <c r="G489" s="1">
        <v>37.42</v>
      </c>
      <c r="H489" s="1" t="s">
        <v>37</v>
      </c>
      <c r="I489" s="1" t="s">
        <v>37</v>
      </c>
      <c r="J489" s="1" t="s">
        <v>37</v>
      </c>
      <c r="K489" s="1" t="s">
        <v>38</v>
      </c>
      <c r="L489" s="1">
        <v>37.423997291882998</v>
      </c>
      <c r="M489" s="1" t="s">
        <v>40</v>
      </c>
      <c r="N489" s="1"/>
    </row>
    <row r="490" spans="1:14" x14ac:dyDescent="0.45">
      <c r="A490" s="1" t="s">
        <v>67</v>
      </c>
      <c r="B490" s="1" t="s">
        <v>15</v>
      </c>
      <c r="C490" s="1">
        <v>14</v>
      </c>
      <c r="D490" s="1" t="s">
        <v>35</v>
      </c>
      <c r="E490" s="1" t="s">
        <v>36</v>
      </c>
      <c r="F490" s="1" t="s">
        <v>8</v>
      </c>
      <c r="G490" s="1">
        <v>37.83</v>
      </c>
      <c r="H490" s="1" t="s">
        <v>37</v>
      </c>
      <c r="I490" s="1" t="s">
        <v>37</v>
      </c>
      <c r="J490" s="1" t="s">
        <v>37</v>
      </c>
      <c r="K490" s="1" t="s">
        <v>38</v>
      </c>
      <c r="L490" s="1">
        <v>37.826172857594997</v>
      </c>
      <c r="M490" s="1" t="s">
        <v>40</v>
      </c>
      <c r="N490" s="1"/>
    </row>
    <row r="491" spans="1:14" x14ac:dyDescent="0.45">
      <c r="A491" s="1" t="s">
        <v>79</v>
      </c>
      <c r="B491" s="1" t="s">
        <v>15</v>
      </c>
      <c r="C491" s="1">
        <v>14</v>
      </c>
      <c r="D491" s="1" t="s">
        <v>35</v>
      </c>
      <c r="E491" s="1" t="s">
        <v>36</v>
      </c>
      <c r="F491" s="1" t="s">
        <v>8</v>
      </c>
      <c r="G491" s="1" t="s">
        <v>9</v>
      </c>
      <c r="H491" s="1" t="s">
        <v>37</v>
      </c>
      <c r="I491" s="1" t="s">
        <v>37</v>
      </c>
      <c r="J491" s="1" t="s">
        <v>37</v>
      </c>
      <c r="K491" s="1" t="s">
        <v>38</v>
      </c>
      <c r="L491" s="1" t="s">
        <v>39</v>
      </c>
      <c r="M491" s="1" t="s">
        <v>40</v>
      </c>
      <c r="N491" s="1"/>
    </row>
    <row r="492" spans="1:14" x14ac:dyDescent="0.45">
      <c r="A492" s="1" t="s">
        <v>91</v>
      </c>
      <c r="B492" s="1" t="s">
        <v>15</v>
      </c>
      <c r="C492" s="1">
        <v>15</v>
      </c>
      <c r="D492" s="1" t="s">
        <v>35</v>
      </c>
      <c r="E492" s="1" t="s">
        <v>36</v>
      </c>
      <c r="F492" s="1" t="s">
        <v>8</v>
      </c>
      <c r="G492" s="1">
        <v>37.58</v>
      </c>
      <c r="H492" s="1" t="s">
        <v>37</v>
      </c>
      <c r="I492" s="1" t="s">
        <v>37</v>
      </c>
      <c r="J492" s="1" t="s">
        <v>37</v>
      </c>
      <c r="K492" s="1" t="s">
        <v>38</v>
      </c>
      <c r="L492" s="1">
        <v>37.5812207945349</v>
      </c>
      <c r="M492" s="1" t="s">
        <v>40</v>
      </c>
      <c r="N492" s="1"/>
    </row>
    <row r="493" spans="1:14" x14ac:dyDescent="0.45">
      <c r="A493" s="1" t="s">
        <v>103</v>
      </c>
      <c r="B493" s="1" t="s">
        <v>15</v>
      </c>
      <c r="C493" s="1">
        <v>15</v>
      </c>
      <c r="D493" s="1" t="s">
        <v>35</v>
      </c>
      <c r="E493" s="1" t="s">
        <v>36</v>
      </c>
      <c r="F493" s="1" t="s">
        <v>8</v>
      </c>
      <c r="G493" s="1" t="s">
        <v>9</v>
      </c>
      <c r="H493" s="1" t="s">
        <v>37</v>
      </c>
      <c r="I493" s="1" t="s">
        <v>37</v>
      </c>
      <c r="J493" s="1" t="s">
        <v>37</v>
      </c>
      <c r="K493" s="1" t="s">
        <v>38</v>
      </c>
      <c r="L493" s="1" t="s">
        <v>39</v>
      </c>
      <c r="M493" s="1" t="s">
        <v>40</v>
      </c>
      <c r="N493" s="1"/>
    </row>
    <row r="494" spans="1:14" x14ac:dyDescent="0.45">
      <c r="A494" s="1" t="s">
        <v>115</v>
      </c>
      <c r="B494" s="1" t="s">
        <v>15</v>
      </c>
      <c r="C494" s="1">
        <v>15</v>
      </c>
      <c r="D494" s="1" t="s">
        <v>35</v>
      </c>
      <c r="E494" s="1" t="s">
        <v>36</v>
      </c>
      <c r="F494" s="1" t="s">
        <v>8</v>
      </c>
      <c r="G494" s="1" t="s">
        <v>9</v>
      </c>
      <c r="H494" s="1" t="s">
        <v>37</v>
      </c>
      <c r="I494" s="1" t="s">
        <v>37</v>
      </c>
      <c r="J494" s="1" t="s">
        <v>37</v>
      </c>
      <c r="K494" s="1" t="s">
        <v>38</v>
      </c>
      <c r="L494" s="1" t="s">
        <v>39</v>
      </c>
      <c r="M494" s="1" t="s">
        <v>40</v>
      </c>
      <c r="N494" s="1"/>
    </row>
    <row r="495" spans="1:14" x14ac:dyDescent="0.45">
      <c r="A495" s="1" t="s">
        <v>56</v>
      </c>
      <c r="B495" s="1" t="s">
        <v>15</v>
      </c>
      <c r="C495" s="1">
        <v>16</v>
      </c>
      <c r="D495" s="1" t="s">
        <v>35</v>
      </c>
      <c r="E495" s="1" t="s">
        <v>36</v>
      </c>
      <c r="F495" s="1" t="s">
        <v>8</v>
      </c>
      <c r="G495" s="1" t="s">
        <v>9</v>
      </c>
      <c r="H495" s="1" t="s">
        <v>37</v>
      </c>
      <c r="I495" s="1" t="s">
        <v>37</v>
      </c>
      <c r="J495" s="1" t="s">
        <v>37</v>
      </c>
      <c r="K495" s="1" t="s">
        <v>38</v>
      </c>
      <c r="L495" s="1" t="s">
        <v>39</v>
      </c>
      <c r="M495" s="1" t="s">
        <v>40</v>
      </c>
      <c r="N495" s="1"/>
    </row>
    <row r="496" spans="1:14" x14ac:dyDescent="0.45">
      <c r="A496" s="1" t="s">
        <v>127</v>
      </c>
      <c r="B496" s="1" t="s">
        <v>15</v>
      </c>
      <c r="C496" s="1">
        <v>16</v>
      </c>
      <c r="D496" s="1" t="s">
        <v>35</v>
      </c>
      <c r="E496" s="1" t="s">
        <v>36</v>
      </c>
      <c r="F496" s="1" t="s">
        <v>8</v>
      </c>
      <c r="G496" s="1">
        <v>35.729999999999997</v>
      </c>
      <c r="H496" s="1" t="s">
        <v>37</v>
      </c>
      <c r="I496" s="1" t="s">
        <v>37</v>
      </c>
      <c r="J496" s="1" t="s">
        <v>37</v>
      </c>
      <c r="K496" s="1" t="s">
        <v>38</v>
      </c>
      <c r="L496" s="1">
        <v>35.725619030184902</v>
      </c>
      <c r="M496" s="1" t="s">
        <v>40</v>
      </c>
      <c r="N496" s="1"/>
    </row>
    <row r="497" spans="1:14" x14ac:dyDescent="0.45">
      <c r="A497" s="1" t="s">
        <v>139</v>
      </c>
      <c r="B497" s="1" t="s">
        <v>15</v>
      </c>
      <c r="C497" s="1">
        <v>16</v>
      </c>
      <c r="D497" s="1" t="s">
        <v>35</v>
      </c>
      <c r="E497" s="1" t="s">
        <v>36</v>
      </c>
      <c r="F497" s="1" t="s">
        <v>8</v>
      </c>
      <c r="G497" s="1">
        <v>35.96</v>
      </c>
      <c r="H497" s="1" t="s">
        <v>37</v>
      </c>
      <c r="I497" s="1" t="s">
        <v>37</v>
      </c>
      <c r="J497" s="1" t="s">
        <v>37</v>
      </c>
      <c r="K497" s="1" t="s">
        <v>38</v>
      </c>
      <c r="L497" s="1">
        <v>35.964000561205701</v>
      </c>
      <c r="M497" s="1" t="s">
        <v>40</v>
      </c>
      <c r="N497" s="1"/>
    </row>
    <row r="498" spans="1:14" x14ac:dyDescent="0.45">
      <c r="A498" s="1" t="s">
        <v>68</v>
      </c>
      <c r="B498" s="1" t="s">
        <v>15</v>
      </c>
      <c r="C498" s="1">
        <v>17</v>
      </c>
      <c r="D498" s="1" t="s">
        <v>35</v>
      </c>
      <c r="E498" s="1" t="s">
        <v>36</v>
      </c>
      <c r="F498" s="1" t="s">
        <v>8</v>
      </c>
      <c r="G498" s="1">
        <v>36.71</v>
      </c>
      <c r="H498" s="1" t="s">
        <v>37</v>
      </c>
      <c r="I498" s="1" t="s">
        <v>37</v>
      </c>
      <c r="J498" s="1" t="s">
        <v>37</v>
      </c>
      <c r="K498" s="1" t="s">
        <v>38</v>
      </c>
      <c r="L498" s="1">
        <v>36.708186473716999</v>
      </c>
      <c r="M498" s="1" t="s">
        <v>40</v>
      </c>
      <c r="N498" s="1"/>
    </row>
    <row r="499" spans="1:14" x14ac:dyDescent="0.45">
      <c r="A499" s="1" t="s">
        <v>80</v>
      </c>
      <c r="B499" s="1" t="s">
        <v>15</v>
      </c>
      <c r="C499" s="1">
        <v>17</v>
      </c>
      <c r="D499" s="1" t="s">
        <v>35</v>
      </c>
      <c r="E499" s="1" t="s">
        <v>36</v>
      </c>
      <c r="F499" s="1" t="s">
        <v>8</v>
      </c>
      <c r="G499" s="1">
        <v>37.549999999999997</v>
      </c>
      <c r="H499" s="1" t="s">
        <v>37</v>
      </c>
      <c r="I499" s="1" t="s">
        <v>37</v>
      </c>
      <c r="J499" s="1" t="s">
        <v>37</v>
      </c>
      <c r="K499" s="1" t="s">
        <v>38</v>
      </c>
      <c r="L499" s="1">
        <v>37.5536052227664</v>
      </c>
      <c r="M499" s="1" t="s">
        <v>40</v>
      </c>
      <c r="N499" s="1"/>
    </row>
    <row r="500" spans="1:14" x14ac:dyDescent="0.45">
      <c r="A500" s="1" t="s">
        <v>92</v>
      </c>
      <c r="B500" s="1" t="s">
        <v>15</v>
      </c>
      <c r="C500" s="1">
        <v>17</v>
      </c>
      <c r="D500" s="1" t="s">
        <v>35</v>
      </c>
      <c r="E500" s="1" t="s">
        <v>36</v>
      </c>
      <c r="F500" s="1" t="s">
        <v>8</v>
      </c>
      <c r="G500" s="1">
        <v>35.6</v>
      </c>
      <c r="H500" s="1" t="s">
        <v>37</v>
      </c>
      <c r="I500" s="1" t="s">
        <v>37</v>
      </c>
      <c r="J500" s="1" t="s">
        <v>37</v>
      </c>
      <c r="K500" s="1" t="s">
        <v>38</v>
      </c>
      <c r="L500" s="1">
        <v>35.595477638663397</v>
      </c>
      <c r="M500" s="1" t="s">
        <v>40</v>
      </c>
      <c r="N500" s="1"/>
    </row>
    <row r="501" spans="1:14" x14ac:dyDescent="0.45">
      <c r="A501" s="1" t="s">
        <v>104</v>
      </c>
      <c r="B501" s="1" t="s">
        <v>15</v>
      </c>
      <c r="C501" s="1">
        <v>18</v>
      </c>
      <c r="D501" s="1" t="s">
        <v>35</v>
      </c>
      <c r="E501" s="1" t="s">
        <v>36</v>
      </c>
      <c r="F501" s="1" t="s">
        <v>8</v>
      </c>
      <c r="G501" s="1">
        <v>35.53</v>
      </c>
      <c r="H501" s="1" t="s">
        <v>37</v>
      </c>
      <c r="I501" s="1" t="s">
        <v>37</v>
      </c>
      <c r="J501" s="1" t="s">
        <v>37</v>
      </c>
      <c r="K501" s="1" t="s">
        <v>38</v>
      </c>
      <c r="L501" s="1">
        <v>35.527183134684101</v>
      </c>
      <c r="M501" s="1" t="s">
        <v>40</v>
      </c>
      <c r="N501" s="1"/>
    </row>
    <row r="502" spans="1:14" x14ac:dyDescent="0.45">
      <c r="A502" s="1" t="s">
        <v>116</v>
      </c>
      <c r="B502" s="1" t="s">
        <v>15</v>
      </c>
      <c r="C502" s="1">
        <v>18</v>
      </c>
      <c r="D502" s="1" t="s">
        <v>35</v>
      </c>
      <c r="E502" s="1" t="s">
        <v>36</v>
      </c>
      <c r="F502" s="1" t="s">
        <v>8</v>
      </c>
      <c r="G502" s="1">
        <v>37.700000000000003</v>
      </c>
      <c r="H502" s="1" t="s">
        <v>37</v>
      </c>
      <c r="I502" s="1" t="s">
        <v>37</v>
      </c>
      <c r="J502" s="1" t="s">
        <v>37</v>
      </c>
      <c r="K502" s="1" t="s">
        <v>38</v>
      </c>
      <c r="L502" s="1">
        <v>37.702055873523598</v>
      </c>
      <c r="M502" s="1" t="s">
        <v>40</v>
      </c>
      <c r="N502" s="1"/>
    </row>
    <row r="503" spans="1:14" x14ac:dyDescent="0.45">
      <c r="A503" s="1" t="s">
        <v>128</v>
      </c>
      <c r="B503" s="1" t="s">
        <v>15</v>
      </c>
      <c r="C503" s="1">
        <v>18</v>
      </c>
      <c r="D503" s="1" t="s">
        <v>35</v>
      </c>
      <c r="E503" s="1" t="s">
        <v>36</v>
      </c>
      <c r="F503" s="1" t="s">
        <v>8</v>
      </c>
      <c r="G503" s="1">
        <v>36.82</v>
      </c>
      <c r="H503" s="1" t="s">
        <v>37</v>
      </c>
      <c r="I503" s="1" t="s">
        <v>37</v>
      </c>
      <c r="J503" s="1" t="s">
        <v>37</v>
      </c>
      <c r="K503" s="1" t="s">
        <v>38</v>
      </c>
      <c r="L503" s="1">
        <v>36.816001369101997</v>
      </c>
      <c r="M503" s="1" t="s">
        <v>40</v>
      </c>
      <c r="N503" s="1"/>
    </row>
    <row r="504" spans="1:14" x14ac:dyDescent="0.45">
      <c r="A504" s="1" t="s">
        <v>57</v>
      </c>
      <c r="B504" s="1" t="s">
        <v>15</v>
      </c>
      <c r="C504" s="1">
        <v>19</v>
      </c>
      <c r="D504" s="1" t="s">
        <v>35</v>
      </c>
      <c r="E504" s="1" t="s">
        <v>36</v>
      </c>
      <c r="F504" s="1" t="s">
        <v>8</v>
      </c>
      <c r="G504" s="1">
        <v>37.14</v>
      </c>
      <c r="H504" s="1" t="s">
        <v>37</v>
      </c>
      <c r="I504" s="1" t="s">
        <v>37</v>
      </c>
      <c r="J504" s="1" t="s">
        <v>37</v>
      </c>
      <c r="K504" s="1" t="s">
        <v>38</v>
      </c>
      <c r="L504" s="1">
        <v>37.139067857721997</v>
      </c>
      <c r="M504" s="1" t="s">
        <v>40</v>
      </c>
      <c r="N504" s="1"/>
    </row>
    <row r="505" spans="1:14" x14ac:dyDescent="0.45">
      <c r="A505" s="1" t="s">
        <v>69</v>
      </c>
      <c r="B505" s="1" t="s">
        <v>15</v>
      </c>
      <c r="C505" s="1">
        <v>19</v>
      </c>
      <c r="D505" s="1" t="s">
        <v>35</v>
      </c>
      <c r="E505" s="1" t="s">
        <v>36</v>
      </c>
      <c r="F505" s="1" t="s">
        <v>8</v>
      </c>
      <c r="G505" s="1" t="s">
        <v>9</v>
      </c>
      <c r="H505" s="1" t="s">
        <v>37</v>
      </c>
      <c r="I505" s="1" t="s">
        <v>37</v>
      </c>
      <c r="J505" s="1" t="s">
        <v>37</v>
      </c>
      <c r="K505" s="1" t="s">
        <v>38</v>
      </c>
      <c r="L505" s="1" t="s">
        <v>39</v>
      </c>
      <c r="M505" s="1" t="s">
        <v>40</v>
      </c>
      <c r="N505" s="1"/>
    </row>
    <row r="506" spans="1:14" x14ac:dyDescent="0.45">
      <c r="A506" s="1" t="s">
        <v>140</v>
      </c>
      <c r="B506" s="1" t="s">
        <v>15</v>
      </c>
      <c r="C506" s="1">
        <v>19</v>
      </c>
      <c r="D506" s="1" t="s">
        <v>35</v>
      </c>
      <c r="E506" s="1" t="s">
        <v>36</v>
      </c>
      <c r="F506" s="1" t="s">
        <v>8</v>
      </c>
      <c r="G506" s="1" t="s">
        <v>9</v>
      </c>
      <c r="H506" s="1" t="s">
        <v>37</v>
      </c>
      <c r="I506" s="1" t="s">
        <v>37</v>
      </c>
      <c r="J506" s="1" t="s">
        <v>37</v>
      </c>
      <c r="K506" s="1" t="s">
        <v>38</v>
      </c>
      <c r="L506" s="1" t="s">
        <v>39</v>
      </c>
      <c r="M506" s="1" t="s">
        <v>40</v>
      </c>
      <c r="N506" s="1"/>
    </row>
    <row r="507" spans="1:14" x14ac:dyDescent="0.45">
      <c r="A507" s="1" t="s">
        <v>81</v>
      </c>
      <c r="B507" s="1" t="s">
        <v>15</v>
      </c>
      <c r="C507" s="1">
        <v>20</v>
      </c>
      <c r="D507" s="1" t="s">
        <v>35</v>
      </c>
      <c r="E507" s="1" t="s">
        <v>36</v>
      </c>
      <c r="F507" s="1" t="s">
        <v>8</v>
      </c>
      <c r="G507" s="1" t="s">
        <v>9</v>
      </c>
      <c r="H507" s="1" t="s">
        <v>37</v>
      </c>
      <c r="I507" s="1" t="s">
        <v>37</v>
      </c>
      <c r="J507" s="1" t="s">
        <v>37</v>
      </c>
      <c r="K507" s="1" t="s">
        <v>38</v>
      </c>
      <c r="L507" s="1" t="s">
        <v>39</v>
      </c>
      <c r="M507" s="1" t="s">
        <v>40</v>
      </c>
      <c r="N507" s="1"/>
    </row>
    <row r="508" spans="1:14" x14ac:dyDescent="0.45">
      <c r="A508" s="1" t="s">
        <v>93</v>
      </c>
      <c r="B508" s="1" t="s">
        <v>15</v>
      </c>
      <c r="C508" s="1">
        <v>20</v>
      </c>
      <c r="D508" s="1" t="s">
        <v>35</v>
      </c>
      <c r="E508" s="1" t="s">
        <v>36</v>
      </c>
      <c r="F508" s="1" t="s">
        <v>8</v>
      </c>
      <c r="G508" s="1">
        <v>36.57</v>
      </c>
      <c r="H508" s="1" t="s">
        <v>37</v>
      </c>
      <c r="I508" s="1" t="s">
        <v>37</v>
      </c>
      <c r="J508" s="1" t="s">
        <v>37</v>
      </c>
      <c r="K508" s="1" t="s">
        <v>38</v>
      </c>
      <c r="L508" s="1">
        <v>36.567676908030002</v>
      </c>
      <c r="M508" s="1" t="s">
        <v>40</v>
      </c>
      <c r="N508" s="1"/>
    </row>
    <row r="509" spans="1:14" x14ac:dyDescent="0.45">
      <c r="A509" s="1" t="s">
        <v>105</v>
      </c>
      <c r="B509" s="1" t="s">
        <v>15</v>
      </c>
      <c r="C509" s="1">
        <v>20</v>
      </c>
      <c r="D509" s="1" t="s">
        <v>35</v>
      </c>
      <c r="E509" s="1" t="s">
        <v>36</v>
      </c>
      <c r="F509" s="1" t="s">
        <v>8</v>
      </c>
      <c r="G509" s="1">
        <v>37.85</v>
      </c>
      <c r="H509" s="1" t="s">
        <v>37</v>
      </c>
      <c r="I509" s="1" t="s">
        <v>37</v>
      </c>
      <c r="J509" s="1" t="s">
        <v>37</v>
      </c>
      <c r="K509" s="1" t="s">
        <v>38</v>
      </c>
      <c r="L509" s="1">
        <v>37.850263812658902</v>
      </c>
      <c r="M509" s="1" t="s">
        <v>40</v>
      </c>
      <c r="N509" s="1"/>
    </row>
    <row r="510" spans="1:14" x14ac:dyDescent="0.45">
      <c r="A510" s="1" t="s">
        <v>117</v>
      </c>
      <c r="B510" s="1" t="s">
        <v>15</v>
      </c>
      <c r="C510" s="1">
        <v>21</v>
      </c>
      <c r="D510" s="1" t="s">
        <v>35</v>
      </c>
      <c r="E510" s="1" t="s">
        <v>36</v>
      </c>
      <c r="F510" s="1" t="s">
        <v>8</v>
      </c>
      <c r="G510" s="1">
        <v>39.33</v>
      </c>
      <c r="H510" s="1" t="s">
        <v>37</v>
      </c>
      <c r="I510" s="1" t="s">
        <v>37</v>
      </c>
      <c r="J510" s="1" t="s">
        <v>37</v>
      </c>
      <c r="K510" s="1" t="s">
        <v>38</v>
      </c>
      <c r="L510" s="1">
        <v>39.327600475219597</v>
      </c>
      <c r="M510" s="1" t="s">
        <v>40</v>
      </c>
      <c r="N510" s="1"/>
    </row>
    <row r="511" spans="1:14" x14ac:dyDescent="0.45">
      <c r="A511" s="1" t="s">
        <v>129</v>
      </c>
      <c r="B511" s="1" t="s">
        <v>15</v>
      </c>
      <c r="C511" s="1">
        <v>21</v>
      </c>
      <c r="D511" s="1" t="s">
        <v>35</v>
      </c>
      <c r="E511" s="1" t="s">
        <v>36</v>
      </c>
      <c r="F511" s="1" t="s">
        <v>8</v>
      </c>
      <c r="G511" s="1">
        <v>37.4</v>
      </c>
      <c r="H511" s="1" t="s">
        <v>37</v>
      </c>
      <c r="I511" s="1" t="s">
        <v>37</v>
      </c>
      <c r="J511" s="1" t="s">
        <v>37</v>
      </c>
      <c r="K511" s="1" t="s">
        <v>38</v>
      </c>
      <c r="L511" s="1">
        <v>37.404261882619103</v>
      </c>
      <c r="M511" s="1" t="s">
        <v>40</v>
      </c>
      <c r="N511" s="1"/>
    </row>
    <row r="512" spans="1:14" x14ac:dyDescent="0.45">
      <c r="A512" s="1" t="s">
        <v>141</v>
      </c>
      <c r="B512" s="1" t="s">
        <v>15</v>
      </c>
      <c r="C512" s="1">
        <v>21</v>
      </c>
      <c r="D512" s="1" t="s">
        <v>35</v>
      </c>
      <c r="E512" s="1" t="s">
        <v>36</v>
      </c>
      <c r="F512" s="1" t="s">
        <v>8</v>
      </c>
      <c r="G512" s="1" t="s">
        <v>9</v>
      </c>
      <c r="H512" s="1" t="s">
        <v>37</v>
      </c>
      <c r="I512" s="1" t="s">
        <v>37</v>
      </c>
      <c r="J512" s="1" t="s">
        <v>37</v>
      </c>
      <c r="K512" s="1" t="s">
        <v>38</v>
      </c>
      <c r="L512" s="1" t="s">
        <v>39</v>
      </c>
      <c r="M512" s="1" t="s">
        <v>40</v>
      </c>
      <c r="N512" s="1"/>
    </row>
    <row r="513" spans="1:14" x14ac:dyDescent="0.45">
      <c r="A513" s="1" t="s">
        <v>58</v>
      </c>
      <c r="B513" s="1" t="s">
        <v>15</v>
      </c>
      <c r="C513" s="1">
        <v>22</v>
      </c>
      <c r="D513" s="1" t="s">
        <v>35</v>
      </c>
      <c r="E513" s="1" t="s">
        <v>36</v>
      </c>
      <c r="F513" s="1" t="s">
        <v>8</v>
      </c>
      <c r="G513" s="1" t="s">
        <v>9</v>
      </c>
      <c r="H513" s="1" t="s">
        <v>37</v>
      </c>
      <c r="I513" s="1" t="s">
        <v>37</v>
      </c>
      <c r="J513" s="1" t="s">
        <v>37</v>
      </c>
      <c r="K513" s="1" t="s">
        <v>38</v>
      </c>
      <c r="L513" s="1" t="s">
        <v>39</v>
      </c>
      <c r="M513" s="1" t="s">
        <v>40</v>
      </c>
      <c r="N513" s="1"/>
    </row>
    <row r="514" spans="1:14" x14ac:dyDescent="0.45">
      <c r="A514" s="1" t="s">
        <v>70</v>
      </c>
      <c r="B514" s="1" t="s">
        <v>15</v>
      </c>
      <c r="C514" s="1">
        <v>22</v>
      </c>
      <c r="D514" s="1" t="s">
        <v>35</v>
      </c>
      <c r="E514" s="1" t="s">
        <v>36</v>
      </c>
      <c r="F514" s="1" t="s">
        <v>8</v>
      </c>
      <c r="G514" s="1">
        <v>35.83</v>
      </c>
      <c r="H514" s="1" t="s">
        <v>37</v>
      </c>
      <c r="I514" s="1" t="s">
        <v>37</v>
      </c>
      <c r="J514" s="1" t="s">
        <v>37</v>
      </c>
      <c r="K514" s="1" t="s">
        <v>38</v>
      </c>
      <c r="L514" s="1">
        <v>35.8331709033856</v>
      </c>
      <c r="M514" s="1" t="s">
        <v>40</v>
      </c>
      <c r="N514" s="1"/>
    </row>
    <row r="515" spans="1:14" x14ac:dyDescent="0.45">
      <c r="A515" s="1" t="s">
        <v>82</v>
      </c>
      <c r="B515" s="1" t="s">
        <v>15</v>
      </c>
      <c r="C515" s="1">
        <v>22</v>
      </c>
      <c r="D515" s="1" t="s">
        <v>35</v>
      </c>
      <c r="E515" s="1" t="s">
        <v>36</v>
      </c>
      <c r="F515" s="1" t="s">
        <v>8</v>
      </c>
      <c r="G515" s="1">
        <v>37.840000000000003</v>
      </c>
      <c r="H515" s="1" t="s">
        <v>37</v>
      </c>
      <c r="I515" s="1" t="s">
        <v>37</v>
      </c>
      <c r="J515" s="1" t="s">
        <v>37</v>
      </c>
      <c r="K515" s="1" t="s">
        <v>38</v>
      </c>
      <c r="L515" s="1">
        <v>37.840941712110798</v>
      </c>
      <c r="M515" s="1" t="s">
        <v>40</v>
      </c>
      <c r="N515" s="1"/>
    </row>
    <row r="516" spans="1:14" x14ac:dyDescent="0.45">
      <c r="A516" s="1" t="s">
        <v>94</v>
      </c>
      <c r="B516" s="1" t="s">
        <v>15</v>
      </c>
      <c r="C516" s="1">
        <v>23</v>
      </c>
      <c r="D516" s="1" t="s">
        <v>35</v>
      </c>
      <c r="E516" s="1" t="s">
        <v>36</v>
      </c>
      <c r="F516" s="1" t="s">
        <v>8</v>
      </c>
      <c r="G516" s="1">
        <v>35.78</v>
      </c>
      <c r="H516" s="1" t="s">
        <v>37</v>
      </c>
      <c r="I516" s="1" t="s">
        <v>37</v>
      </c>
      <c r="J516" s="1" t="s">
        <v>37</v>
      </c>
      <c r="K516" s="1" t="s">
        <v>38</v>
      </c>
      <c r="L516" s="1">
        <v>35.775370605254103</v>
      </c>
      <c r="M516" s="1" t="s">
        <v>40</v>
      </c>
      <c r="N516" s="1"/>
    </row>
    <row r="517" spans="1:14" x14ac:dyDescent="0.45">
      <c r="A517" s="1" t="s">
        <v>106</v>
      </c>
      <c r="B517" s="1" t="s">
        <v>15</v>
      </c>
      <c r="C517" s="1">
        <v>23</v>
      </c>
      <c r="D517" s="1" t="s">
        <v>35</v>
      </c>
      <c r="E517" s="1" t="s">
        <v>36</v>
      </c>
      <c r="F517" s="1" t="s">
        <v>8</v>
      </c>
      <c r="G517" s="1">
        <v>36.36</v>
      </c>
      <c r="H517" s="1" t="s">
        <v>37</v>
      </c>
      <c r="I517" s="1" t="s">
        <v>37</v>
      </c>
      <c r="J517" s="1" t="s">
        <v>37</v>
      </c>
      <c r="K517" s="1" t="s">
        <v>38</v>
      </c>
      <c r="L517" s="1">
        <v>36.364661749872802</v>
      </c>
      <c r="M517" s="1" t="s">
        <v>40</v>
      </c>
      <c r="N517" s="1"/>
    </row>
    <row r="518" spans="1:14" x14ac:dyDescent="0.45">
      <c r="A518" s="1" t="s">
        <v>118</v>
      </c>
      <c r="B518" s="1" t="s">
        <v>15</v>
      </c>
      <c r="C518" s="1">
        <v>23</v>
      </c>
      <c r="D518" s="1" t="s">
        <v>35</v>
      </c>
      <c r="E518" s="1" t="s">
        <v>36</v>
      </c>
      <c r="F518" s="1" t="s">
        <v>8</v>
      </c>
      <c r="G518" s="1">
        <v>35.07</v>
      </c>
      <c r="H518" s="1" t="s">
        <v>37</v>
      </c>
      <c r="I518" s="1" t="s">
        <v>37</v>
      </c>
      <c r="J518" s="1" t="s">
        <v>37</v>
      </c>
      <c r="K518" s="1" t="s">
        <v>38</v>
      </c>
      <c r="L518" s="1">
        <v>35.069997667504197</v>
      </c>
      <c r="M518" s="1" t="s">
        <v>40</v>
      </c>
      <c r="N518" s="1"/>
    </row>
    <row r="519" spans="1:14" x14ac:dyDescent="0.45">
      <c r="A519" s="1" t="s">
        <v>59</v>
      </c>
      <c r="B519" s="1" t="s">
        <v>15</v>
      </c>
      <c r="C519" s="1">
        <v>24</v>
      </c>
      <c r="D519" s="1" t="s">
        <v>35</v>
      </c>
      <c r="E519" s="1" t="s">
        <v>36</v>
      </c>
      <c r="F519" s="1" t="s">
        <v>8</v>
      </c>
      <c r="G519" s="1">
        <v>37.17</v>
      </c>
      <c r="H519" s="1" t="s">
        <v>37</v>
      </c>
      <c r="I519" s="1" t="s">
        <v>37</v>
      </c>
      <c r="J519" s="1" t="s">
        <v>37</v>
      </c>
      <c r="K519" s="1" t="s">
        <v>38</v>
      </c>
      <c r="L519" s="1">
        <v>37.165742209108103</v>
      </c>
      <c r="M519" s="1" t="s">
        <v>40</v>
      </c>
      <c r="N519" s="1"/>
    </row>
    <row r="520" spans="1:14" x14ac:dyDescent="0.45">
      <c r="A520" s="1" t="s">
        <v>130</v>
      </c>
      <c r="B520" s="1" t="s">
        <v>15</v>
      </c>
      <c r="C520" s="1">
        <v>24</v>
      </c>
      <c r="D520" s="1" t="s">
        <v>35</v>
      </c>
      <c r="E520" s="1" t="s">
        <v>36</v>
      </c>
      <c r="F520" s="1" t="s">
        <v>8</v>
      </c>
      <c r="G520" s="1">
        <v>36.65</v>
      </c>
      <c r="H520" s="1" t="s">
        <v>37</v>
      </c>
      <c r="I520" s="1" t="s">
        <v>37</v>
      </c>
      <c r="J520" s="1" t="s">
        <v>37</v>
      </c>
      <c r="K520" s="1" t="s">
        <v>38</v>
      </c>
      <c r="L520" s="1">
        <v>36.647597843301597</v>
      </c>
      <c r="M520" s="1" t="s">
        <v>40</v>
      </c>
      <c r="N520" s="1"/>
    </row>
    <row r="521" spans="1:14" x14ac:dyDescent="0.45">
      <c r="A521" s="1" t="s">
        <v>142</v>
      </c>
      <c r="B521" s="1" t="s">
        <v>15</v>
      </c>
      <c r="C521" s="1">
        <v>24</v>
      </c>
      <c r="D521" s="1" t="s">
        <v>35</v>
      </c>
      <c r="E521" s="1" t="s">
        <v>36</v>
      </c>
      <c r="F521" s="1" t="s">
        <v>8</v>
      </c>
      <c r="G521" s="1">
        <v>37.270000000000003</v>
      </c>
      <c r="H521" s="1" t="s">
        <v>37</v>
      </c>
      <c r="I521" s="1" t="s">
        <v>37</v>
      </c>
      <c r="J521" s="1" t="s">
        <v>37</v>
      </c>
      <c r="K521" s="1" t="s">
        <v>38</v>
      </c>
      <c r="L521" s="1">
        <v>37.266930333654997</v>
      </c>
      <c r="M521" s="1" t="s">
        <v>40</v>
      </c>
      <c r="N521" s="1"/>
    </row>
    <row r="522" spans="1:14" x14ac:dyDescent="0.45">
      <c r="A522" s="1" t="s">
        <v>71</v>
      </c>
      <c r="B522" s="1" t="s">
        <v>15</v>
      </c>
      <c r="C522" s="1">
        <v>25</v>
      </c>
      <c r="D522" s="1" t="s">
        <v>35</v>
      </c>
      <c r="E522" s="1" t="s">
        <v>36</v>
      </c>
      <c r="F522" s="1" t="s">
        <v>8</v>
      </c>
      <c r="G522" s="1">
        <v>37.36</v>
      </c>
      <c r="H522" s="1" t="s">
        <v>37</v>
      </c>
      <c r="I522" s="1" t="s">
        <v>37</v>
      </c>
      <c r="J522" s="1" t="s">
        <v>37</v>
      </c>
      <c r="K522" s="1" t="s">
        <v>38</v>
      </c>
      <c r="L522" s="1">
        <v>37.359583656697403</v>
      </c>
      <c r="M522" s="1" t="s">
        <v>40</v>
      </c>
      <c r="N522" s="1"/>
    </row>
    <row r="523" spans="1:14" x14ac:dyDescent="0.45">
      <c r="A523" s="1" t="s">
        <v>83</v>
      </c>
      <c r="B523" s="1" t="s">
        <v>15</v>
      </c>
      <c r="C523" s="1">
        <v>25</v>
      </c>
      <c r="D523" s="1" t="s">
        <v>35</v>
      </c>
      <c r="E523" s="1" t="s">
        <v>36</v>
      </c>
      <c r="F523" s="1" t="s">
        <v>8</v>
      </c>
      <c r="G523" s="1">
        <v>36.69</v>
      </c>
      <c r="H523" s="1" t="s">
        <v>37</v>
      </c>
      <c r="I523" s="1" t="s">
        <v>37</v>
      </c>
      <c r="J523" s="1" t="s">
        <v>37</v>
      </c>
      <c r="K523" s="1" t="s">
        <v>38</v>
      </c>
      <c r="L523" s="1">
        <v>36.690036877350799</v>
      </c>
      <c r="M523" s="1" t="s">
        <v>40</v>
      </c>
      <c r="N523" s="1"/>
    </row>
    <row r="524" spans="1:14" x14ac:dyDescent="0.45">
      <c r="A524" s="1" t="s">
        <v>95</v>
      </c>
      <c r="B524" s="1" t="s">
        <v>15</v>
      </c>
      <c r="C524" s="1">
        <v>25</v>
      </c>
      <c r="D524" s="1" t="s">
        <v>35</v>
      </c>
      <c r="E524" s="1" t="s">
        <v>36</v>
      </c>
      <c r="F524" s="1" t="s">
        <v>8</v>
      </c>
      <c r="G524" s="1" t="s">
        <v>9</v>
      </c>
      <c r="H524" s="1" t="s">
        <v>37</v>
      </c>
      <c r="I524" s="1" t="s">
        <v>37</v>
      </c>
      <c r="J524" s="1" t="s">
        <v>37</v>
      </c>
      <c r="K524" s="1" t="s">
        <v>38</v>
      </c>
      <c r="L524" s="1" t="s">
        <v>39</v>
      </c>
      <c r="M524" s="1" t="s">
        <v>40</v>
      </c>
      <c r="N524" s="1"/>
    </row>
    <row r="525" spans="1:14" x14ac:dyDescent="0.45">
      <c r="A525" s="1" t="s">
        <v>107</v>
      </c>
      <c r="B525" s="1" t="s">
        <v>15</v>
      </c>
      <c r="C525" s="1">
        <v>26</v>
      </c>
      <c r="D525" s="1" t="s">
        <v>35</v>
      </c>
      <c r="E525" s="1" t="s">
        <v>36</v>
      </c>
      <c r="F525" s="1" t="s">
        <v>8</v>
      </c>
      <c r="G525" s="1">
        <v>34.799999999999997</v>
      </c>
      <c r="H525" s="1" t="s">
        <v>37</v>
      </c>
      <c r="I525" s="1" t="s">
        <v>37</v>
      </c>
      <c r="J525" s="1" t="s">
        <v>37</v>
      </c>
      <c r="K525" s="1" t="s">
        <v>38</v>
      </c>
      <c r="L525" s="1">
        <v>34.802927596693401</v>
      </c>
      <c r="M525" s="1" t="s">
        <v>40</v>
      </c>
      <c r="N525" s="1"/>
    </row>
    <row r="526" spans="1:14" x14ac:dyDescent="0.45">
      <c r="A526" s="1" t="s">
        <v>119</v>
      </c>
      <c r="B526" s="1" t="s">
        <v>15</v>
      </c>
      <c r="C526" s="1">
        <v>26</v>
      </c>
      <c r="D526" s="1" t="s">
        <v>35</v>
      </c>
      <c r="E526" s="1" t="s">
        <v>36</v>
      </c>
      <c r="F526" s="1" t="s">
        <v>8</v>
      </c>
      <c r="G526" s="1">
        <v>36.07</v>
      </c>
      <c r="H526" s="1" t="s">
        <v>37</v>
      </c>
      <c r="I526" s="1" t="s">
        <v>37</v>
      </c>
      <c r="J526" s="1" t="s">
        <v>37</v>
      </c>
      <c r="K526" s="1" t="s">
        <v>38</v>
      </c>
      <c r="L526" s="1">
        <v>36.066203067148997</v>
      </c>
      <c r="M526" s="1" t="s">
        <v>40</v>
      </c>
      <c r="N526" s="1"/>
    </row>
    <row r="527" spans="1:14" x14ac:dyDescent="0.45">
      <c r="A527" s="1" t="s">
        <v>131</v>
      </c>
      <c r="B527" s="1" t="s">
        <v>15</v>
      </c>
      <c r="C527" s="1">
        <v>26</v>
      </c>
      <c r="D527" s="1" t="s">
        <v>35</v>
      </c>
      <c r="E527" s="1" t="s">
        <v>36</v>
      </c>
      <c r="F527" s="1" t="s">
        <v>8</v>
      </c>
      <c r="G527" s="1">
        <v>36.619999999999997</v>
      </c>
      <c r="H527" s="1" t="s">
        <v>37</v>
      </c>
      <c r="I527" s="1" t="s">
        <v>37</v>
      </c>
      <c r="J527" s="1" t="s">
        <v>37</v>
      </c>
      <c r="K527" s="1" t="s">
        <v>38</v>
      </c>
      <c r="L527" s="1">
        <v>36.617180227963999</v>
      </c>
      <c r="M527" s="1" t="s">
        <v>40</v>
      </c>
      <c r="N527" s="1"/>
    </row>
    <row r="528" spans="1:14" x14ac:dyDescent="0.45">
      <c r="A528" s="1" t="s">
        <v>60</v>
      </c>
      <c r="B528" s="1" t="s">
        <v>15</v>
      </c>
      <c r="C528" s="1">
        <v>27</v>
      </c>
      <c r="D528" s="1" t="s">
        <v>35</v>
      </c>
      <c r="E528" s="1" t="s">
        <v>36</v>
      </c>
      <c r="F528" s="1" t="s">
        <v>8</v>
      </c>
      <c r="G528" s="1" t="s">
        <v>9</v>
      </c>
      <c r="H528" s="1" t="s">
        <v>37</v>
      </c>
      <c r="I528" s="1" t="s">
        <v>37</v>
      </c>
      <c r="J528" s="1" t="s">
        <v>37</v>
      </c>
      <c r="K528" s="1" t="s">
        <v>38</v>
      </c>
      <c r="L528" s="1" t="s">
        <v>39</v>
      </c>
      <c r="M528" s="1" t="s">
        <v>40</v>
      </c>
      <c r="N528" s="1"/>
    </row>
    <row r="529" spans="1:14" x14ac:dyDescent="0.45">
      <c r="A529" s="1" t="s">
        <v>72</v>
      </c>
      <c r="B529" s="1" t="s">
        <v>15</v>
      </c>
      <c r="C529" s="1">
        <v>27</v>
      </c>
      <c r="D529" s="1" t="s">
        <v>35</v>
      </c>
      <c r="E529" s="1" t="s">
        <v>36</v>
      </c>
      <c r="F529" s="1" t="s">
        <v>8</v>
      </c>
      <c r="G529" s="1">
        <v>36.119999999999997</v>
      </c>
      <c r="H529" s="1" t="s">
        <v>37</v>
      </c>
      <c r="I529" s="1" t="s">
        <v>37</v>
      </c>
      <c r="J529" s="1" t="s">
        <v>37</v>
      </c>
      <c r="K529" s="1" t="s">
        <v>38</v>
      </c>
      <c r="L529" s="1">
        <v>36.123719051468697</v>
      </c>
      <c r="M529" s="1" t="s">
        <v>40</v>
      </c>
      <c r="N529" s="1"/>
    </row>
    <row r="530" spans="1:14" x14ac:dyDescent="0.45">
      <c r="A530" s="1" t="s">
        <v>143</v>
      </c>
      <c r="B530" s="1" t="s">
        <v>15</v>
      </c>
      <c r="C530" s="1">
        <v>27</v>
      </c>
      <c r="D530" s="1" t="s">
        <v>35</v>
      </c>
      <c r="E530" s="1" t="s">
        <v>36</v>
      </c>
      <c r="F530" s="1" t="s">
        <v>8</v>
      </c>
      <c r="G530" s="1" t="s">
        <v>9</v>
      </c>
      <c r="H530" s="1" t="s">
        <v>37</v>
      </c>
      <c r="I530" s="1" t="s">
        <v>37</v>
      </c>
      <c r="J530" s="1" t="s">
        <v>37</v>
      </c>
      <c r="K530" s="1" t="s">
        <v>38</v>
      </c>
      <c r="L530" s="1" t="s">
        <v>39</v>
      </c>
      <c r="M530" s="1" t="s">
        <v>40</v>
      </c>
      <c r="N530" s="1"/>
    </row>
    <row r="531" spans="1:14" x14ac:dyDescent="0.45">
      <c r="A531" s="1" t="s">
        <v>84</v>
      </c>
      <c r="B531" s="1" t="s">
        <v>15</v>
      </c>
      <c r="C531" s="1">
        <v>28</v>
      </c>
      <c r="D531" s="1" t="s">
        <v>35</v>
      </c>
      <c r="E531" s="1" t="s">
        <v>36</v>
      </c>
      <c r="F531" s="1" t="s">
        <v>8</v>
      </c>
      <c r="G531" s="1">
        <v>36.950000000000003</v>
      </c>
      <c r="H531" s="1" t="s">
        <v>37</v>
      </c>
      <c r="I531" s="1" t="s">
        <v>37</v>
      </c>
      <c r="J531" s="1" t="s">
        <v>37</v>
      </c>
      <c r="K531" s="1" t="s">
        <v>38</v>
      </c>
      <c r="L531" s="1">
        <v>36.948885649884403</v>
      </c>
      <c r="M531" s="1" t="s">
        <v>40</v>
      </c>
      <c r="N531" s="1"/>
    </row>
    <row r="532" spans="1:14" x14ac:dyDescent="0.45">
      <c r="A532" s="1" t="s">
        <v>96</v>
      </c>
      <c r="B532" s="1" t="s">
        <v>15</v>
      </c>
      <c r="C532" s="1">
        <v>28</v>
      </c>
      <c r="D532" s="1" t="s">
        <v>35</v>
      </c>
      <c r="E532" s="1" t="s">
        <v>36</v>
      </c>
      <c r="F532" s="1" t="s">
        <v>8</v>
      </c>
      <c r="G532" s="1">
        <v>36.450000000000003</v>
      </c>
      <c r="H532" s="1" t="s">
        <v>37</v>
      </c>
      <c r="I532" s="1" t="s">
        <v>37</v>
      </c>
      <c r="J532" s="1" t="s">
        <v>37</v>
      </c>
      <c r="K532" s="1" t="s">
        <v>38</v>
      </c>
      <c r="L532" s="1">
        <v>36.449184788290502</v>
      </c>
      <c r="M532" s="1" t="s">
        <v>40</v>
      </c>
      <c r="N532" s="1"/>
    </row>
    <row r="533" spans="1:14" x14ac:dyDescent="0.45">
      <c r="A533" s="1" t="s">
        <v>108</v>
      </c>
      <c r="B533" s="1" t="s">
        <v>15</v>
      </c>
      <c r="C533" s="1">
        <v>28</v>
      </c>
      <c r="D533" s="1" t="s">
        <v>35</v>
      </c>
      <c r="E533" s="1" t="s">
        <v>36</v>
      </c>
      <c r="F533" s="1" t="s">
        <v>8</v>
      </c>
      <c r="G533" s="1" t="s">
        <v>9</v>
      </c>
      <c r="H533" s="1" t="s">
        <v>37</v>
      </c>
      <c r="I533" s="1" t="s">
        <v>37</v>
      </c>
      <c r="J533" s="1" t="s">
        <v>37</v>
      </c>
      <c r="K533" s="1" t="s">
        <v>38</v>
      </c>
      <c r="L533" s="1" t="s">
        <v>39</v>
      </c>
      <c r="M533" s="1" t="s">
        <v>40</v>
      </c>
      <c r="N533" s="1"/>
    </row>
    <row r="534" spans="1:14" x14ac:dyDescent="0.45">
      <c r="A534" s="1" t="s">
        <v>120</v>
      </c>
      <c r="B534" s="1" t="s">
        <v>15</v>
      </c>
      <c r="C534" s="1">
        <v>29</v>
      </c>
      <c r="D534" s="1" t="s">
        <v>35</v>
      </c>
      <c r="E534" s="1" t="s">
        <v>36</v>
      </c>
      <c r="F534" s="1" t="s">
        <v>8</v>
      </c>
      <c r="G534" s="1">
        <v>35.81</v>
      </c>
      <c r="H534" s="1" t="s">
        <v>37</v>
      </c>
      <c r="I534" s="1" t="s">
        <v>37</v>
      </c>
      <c r="J534" s="1" t="s">
        <v>37</v>
      </c>
      <c r="K534" s="1" t="s">
        <v>38</v>
      </c>
      <c r="L534" s="1">
        <v>35.807850312379301</v>
      </c>
      <c r="M534" s="1" t="s">
        <v>40</v>
      </c>
      <c r="N534" s="1"/>
    </row>
    <row r="535" spans="1:14" x14ac:dyDescent="0.45">
      <c r="A535" s="1" t="s">
        <v>132</v>
      </c>
      <c r="B535" s="1" t="s">
        <v>15</v>
      </c>
      <c r="C535" s="1">
        <v>29</v>
      </c>
      <c r="D535" s="1" t="s">
        <v>35</v>
      </c>
      <c r="E535" s="1" t="s">
        <v>36</v>
      </c>
      <c r="F535" s="1" t="s">
        <v>8</v>
      </c>
      <c r="G535" s="1" t="s">
        <v>9</v>
      </c>
      <c r="H535" s="1" t="s">
        <v>37</v>
      </c>
      <c r="I535" s="1" t="s">
        <v>37</v>
      </c>
      <c r="J535" s="1" t="s">
        <v>37</v>
      </c>
      <c r="K535" s="1" t="s">
        <v>38</v>
      </c>
      <c r="L535" s="1" t="s">
        <v>39</v>
      </c>
      <c r="M535" s="1" t="s">
        <v>40</v>
      </c>
      <c r="N535" s="1"/>
    </row>
    <row r="536" spans="1:14" x14ac:dyDescent="0.45">
      <c r="A536" s="1" t="s">
        <v>144</v>
      </c>
      <c r="B536" s="1" t="s">
        <v>15</v>
      </c>
      <c r="C536" s="1">
        <v>29</v>
      </c>
      <c r="D536" s="1" t="s">
        <v>35</v>
      </c>
      <c r="E536" s="1" t="s">
        <v>36</v>
      </c>
      <c r="F536" s="1" t="s">
        <v>8</v>
      </c>
      <c r="G536" s="1">
        <v>34.75</v>
      </c>
      <c r="H536" s="1" t="s">
        <v>37</v>
      </c>
      <c r="I536" s="1" t="s">
        <v>37</v>
      </c>
      <c r="J536" s="1" t="s">
        <v>37</v>
      </c>
      <c r="K536" s="1" t="s">
        <v>38</v>
      </c>
      <c r="L536" s="1">
        <v>34.754184362887102</v>
      </c>
      <c r="M536" s="1" t="s">
        <v>40</v>
      </c>
      <c r="N536" s="1"/>
    </row>
    <row r="537" spans="1:14" x14ac:dyDescent="0.45">
      <c r="A537" s="1" t="s">
        <v>49</v>
      </c>
      <c r="B537" s="1" t="s">
        <v>7</v>
      </c>
      <c r="C537" s="1" t="s">
        <v>7</v>
      </c>
      <c r="D537" s="1" t="s">
        <v>35</v>
      </c>
      <c r="E537" s="1" t="s">
        <v>36</v>
      </c>
      <c r="F537" s="1" t="s">
        <v>8</v>
      </c>
      <c r="G537" s="1" t="s">
        <v>9</v>
      </c>
      <c r="H537" s="1" t="s">
        <v>37</v>
      </c>
      <c r="I537" s="1" t="s">
        <v>37</v>
      </c>
      <c r="J537" s="1" t="s">
        <v>37</v>
      </c>
      <c r="K537" s="1" t="s">
        <v>38</v>
      </c>
      <c r="L537" s="1" t="s">
        <v>39</v>
      </c>
      <c r="M537" s="1" t="s">
        <v>40</v>
      </c>
      <c r="N537" s="1"/>
    </row>
    <row r="538" spans="1:14" x14ac:dyDescent="0.45">
      <c r="A538" s="1" t="s">
        <v>61</v>
      </c>
      <c r="B538" s="1" t="s">
        <v>7</v>
      </c>
      <c r="C538" s="1" t="s">
        <v>7</v>
      </c>
      <c r="D538" s="1" t="s">
        <v>35</v>
      </c>
      <c r="E538" s="1" t="s">
        <v>36</v>
      </c>
      <c r="F538" s="1" t="s">
        <v>8</v>
      </c>
      <c r="G538" s="1" t="s">
        <v>9</v>
      </c>
      <c r="H538" s="1" t="s">
        <v>37</v>
      </c>
      <c r="I538" s="1" t="s">
        <v>37</v>
      </c>
      <c r="J538" s="1" t="s">
        <v>37</v>
      </c>
      <c r="K538" s="1" t="s">
        <v>38</v>
      </c>
      <c r="L538" s="1" t="s">
        <v>39</v>
      </c>
      <c r="M538" s="1" t="s">
        <v>40</v>
      </c>
      <c r="N538" s="1"/>
    </row>
    <row r="539" spans="1:14" x14ac:dyDescent="0.45">
      <c r="A539" s="1" t="s">
        <v>73</v>
      </c>
      <c r="B539" s="1" t="s">
        <v>7</v>
      </c>
      <c r="C539" s="1" t="s">
        <v>7</v>
      </c>
      <c r="D539" s="1" t="s">
        <v>35</v>
      </c>
      <c r="E539" s="1" t="s">
        <v>36</v>
      </c>
      <c r="F539" s="1" t="s">
        <v>8</v>
      </c>
      <c r="G539" s="1" t="s">
        <v>9</v>
      </c>
      <c r="H539" s="1" t="s">
        <v>37</v>
      </c>
      <c r="I539" s="1" t="s">
        <v>37</v>
      </c>
      <c r="J539" s="1" t="s">
        <v>37</v>
      </c>
      <c r="K539" s="1" t="s">
        <v>38</v>
      </c>
      <c r="L539" s="1" t="s">
        <v>39</v>
      </c>
      <c r="M539" s="1" t="s">
        <v>40</v>
      </c>
      <c r="N539" s="1"/>
    </row>
    <row r="540" spans="1:14" x14ac:dyDescent="0.45">
      <c r="A540" s="1" t="s">
        <v>85</v>
      </c>
      <c r="B540" s="1" t="s">
        <v>11</v>
      </c>
      <c r="C540" s="1" t="s">
        <v>43</v>
      </c>
      <c r="D540" s="1" t="s">
        <v>35</v>
      </c>
      <c r="E540" s="1" t="s">
        <v>36</v>
      </c>
      <c r="F540" s="1" t="s">
        <v>8</v>
      </c>
      <c r="G540" s="1">
        <v>22.62</v>
      </c>
      <c r="H540" s="1" t="s">
        <v>42</v>
      </c>
      <c r="I540" s="1" t="s">
        <v>37</v>
      </c>
      <c r="J540" s="1" t="s">
        <v>37</v>
      </c>
      <c r="K540" s="1" t="s">
        <v>38</v>
      </c>
      <c r="L540" s="1">
        <v>22.6159057924135</v>
      </c>
      <c r="M540" s="1" t="s">
        <v>40</v>
      </c>
      <c r="N540" s="1"/>
    </row>
    <row r="541" spans="1:14" x14ac:dyDescent="0.45">
      <c r="A541" s="1" t="s">
        <v>97</v>
      </c>
      <c r="B541" s="1" t="s">
        <v>11</v>
      </c>
      <c r="C541" s="1" t="s">
        <v>43</v>
      </c>
      <c r="D541" s="1" t="s">
        <v>35</v>
      </c>
      <c r="E541" s="1" t="s">
        <v>36</v>
      </c>
      <c r="F541" s="1" t="s">
        <v>8</v>
      </c>
      <c r="G541" s="1">
        <v>22.39</v>
      </c>
      <c r="H541" s="1" t="s">
        <v>42</v>
      </c>
      <c r="I541" s="1" t="s">
        <v>37</v>
      </c>
      <c r="J541" s="1" t="s">
        <v>37</v>
      </c>
      <c r="K541" s="1" t="s">
        <v>38</v>
      </c>
      <c r="L541" s="1">
        <v>22.385298863904701</v>
      </c>
      <c r="M541" s="1" t="s">
        <v>40</v>
      </c>
      <c r="N541" s="1"/>
    </row>
    <row r="542" spans="1:14" x14ac:dyDescent="0.45">
      <c r="A542" s="1" t="s">
        <v>109</v>
      </c>
      <c r="B542" s="1" t="s">
        <v>11</v>
      </c>
      <c r="C542" s="1" t="s">
        <v>43</v>
      </c>
      <c r="D542" s="1" t="s">
        <v>35</v>
      </c>
      <c r="E542" s="1" t="s">
        <v>36</v>
      </c>
      <c r="F542" s="1" t="s">
        <v>8</v>
      </c>
      <c r="G542" s="1">
        <v>22.67</v>
      </c>
      <c r="H542" s="1" t="s">
        <v>42</v>
      </c>
      <c r="I542" s="1" t="s">
        <v>37</v>
      </c>
      <c r="J542" s="1" t="s">
        <v>37</v>
      </c>
      <c r="K542" s="1" t="s">
        <v>38</v>
      </c>
      <c r="L542" s="1">
        <v>22.668744823146099</v>
      </c>
      <c r="M542" s="1" t="s">
        <v>40</v>
      </c>
      <c r="N542" s="1"/>
    </row>
    <row r="543" spans="1:14" x14ac:dyDescent="0.45">
      <c r="A543" s="1" t="s">
        <v>50</v>
      </c>
      <c r="B543" s="1" t="s">
        <v>11</v>
      </c>
      <c r="C543" s="1" t="s">
        <v>41</v>
      </c>
      <c r="D543" s="1" t="s">
        <v>35</v>
      </c>
      <c r="E543" s="1" t="s">
        <v>36</v>
      </c>
      <c r="F543" s="1" t="s">
        <v>8</v>
      </c>
      <c r="G543" s="1" t="s">
        <v>9</v>
      </c>
      <c r="H543" s="1" t="s">
        <v>147</v>
      </c>
      <c r="I543" s="1" t="s">
        <v>37</v>
      </c>
      <c r="J543" s="1" t="s">
        <v>37</v>
      </c>
      <c r="K543" s="1" t="s">
        <v>38</v>
      </c>
      <c r="L543" s="1" t="s">
        <v>39</v>
      </c>
      <c r="M543" s="1" t="s">
        <v>40</v>
      </c>
      <c r="N543" s="1"/>
    </row>
    <row r="544" spans="1:14" x14ac:dyDescent="0.45">
      <c r="A544" s="1" t="s">
        <v>121</v>
      </c>
      <c r="B544" s="1" t="s">
        <v>11</v>
      </c>
      <c r="C544" s="1" t="s">
        <v>41</v>
      </c>
      <c r="D544" s="1" t="s">
        <v>35</v>
      </c>
      <c r="E544" s="1" t="s">
        <v>36</v>
      </c>
      <c r="F544" s="1" t="s">
        <v>8</v>
      </c>
      <c r="G544" s="1">
        <v>36.07</v>
      </c>
      <c r="H544" s="1" t="s">
        <v>42</v>
      </c>
      <c r="I544" s="1" t="s">
        <v>37</v>
      </c>
      <c r="J544" s="1" t="s">
        <v>37</v>
      </c>
      <c r="K544" s="1" t="s">
        <v>38</v>
      </c>
      <c r="L544" s="1">
        <v>36.0689539878299</v>
      </c>
      <c r="M544" s="1" t="s">
        <v>40</v>
      </c>
      <c r="N544" s="1"/>
    </row>
    <row r="545" spans="1:15" x14ac:dyDescent="0.45">
      <c r="A545" s="1" t="s">
        <v>133</v>
      </c>
      <c r="B545" s="1" t="s">
        <v>11</v>
      </c>
      <c r="C545" s="1" t="s">
        <v>41</v>
      </c>
      <c r="D545" s="1" t="s">
        <v>35</v>
      </c>
      <c r="E545" s="1" t="s">
        <v>36</v>
      </c>
      <c r="F545" s="1" t="s">
        <v>8</v>
      </c>
      <c r="G545" s="1">
        <v>38.909999999999997</v>
      </c>
      <c r="H545" s="1" t="s">
        <v>42</v>
      </c>
      <c r="I545" s="1" t="s">
        <v>37</v>
      </c>
      <c r="J545" s="1" t="s">
        <v>37</v>
      </c>
      <c r="K545" s="1" t="s">
        <v>38</v>
      </c>
      <c r="L545" s="1">
        <v>38.9085092411812</v>
      </c>
      <c r="M545" s="1" t="s">
        <v>40</v>
      </c>
      <c r="N545" s="1"/>
    </row>
    <row r="547" spans="1:15" x14ac:dyDescent="0.45">
      <c r="A547" t="s">
        <v>155</v>
      </c>
      <c r="B547" t="s">
        <v>154</v>
      </c>
      <c r="C547" s="2">
        <v>45763</v>
      </c>
    </row>
    <row r="548" spans="1:15" x14ac:dyDescent="0.45">
      <c r="A548" s="1" t="s">
        <v>48</v>
      </c>
      <c r="B548" s="1" t="s">
        <v>0</v>
      </c>
      <c r="C548" s="1" t="s">
        <v>1</v>
      </c>
      <c r="D548" s="1" t="s">
        <v>25</v>
      </c>
      <c r="E548" s="1" t="s">
        <v>26</v>
      </c>
      <c r="F548" s="1" t="s">
        <v>27</v>
      </c>
      <c r="G548" s="1" t="s">
        <v>28</v>
      </c>
      <c r="H548" s="1" t="s">
        <v>2</v>
      </c>
      <c r="I548" s="1" t="s">
        <v>29</v>
      </c>
      <c r="J548" s="1" t="s">
        <v>30</v>
      </c>
      <c r="K548" s="1" t="s">
        <v>31</v>
      </c>
      <c r="L548" s="1" t="s">
        <v>32</v>
      </c>
      <c r="M548" s="1" t="s">
        <v>33</v>
      </c>
      <c r="N548" s="1" t="s">
        <v>34</v>
      </c>
      <c r="O548" s="1"/>
    </row>
    <row r="549" spans="1:15" x14ac:dyDescent="0.45">
      <c r="A549" s="1" t="s">
        <v>62</v>
      </c>
      <c r="B549" s="1" t="s">
        <v>15</v>
      </c>
      <c r="C549" s="1">
        <v>1</v>
      </c>
      <c r="D549" s="1" t="s">
        <v>35</v>
      </c>
      <c r="E549" s="1" t="s">
        <v>36</v>
      </c>
      <c r="F549" s="1" t="s">
        <v>8</v>
      </c>
      <c r="G549" s="1">
        <v>500.86629055629697</v>
      </c>
      <c r="H549" s="1" t="s">
        <v>9</v>
      </c>
      <c r="I549" s="1" t="s">
        <v>37</v>
      </c>
      <c r="J549" s="1" t="s">
        <v>37</v>
      </c>
      <c r="K549" s="1" t="s">
        <v>37</v>
      </c>
      <c r="L549" s="1" t="s">
        <v>38</v>
      </c>
      <c r="M549" s="1" t="s">
        <v>39</v>
      </c>
      <c r="N549" s="1" t="s">
        <v>40</v>
      </c>
      <c r="O549" s="1"/>
    </row>
    <row r="550" spans="1:15" x14ac:dyDescent="0.45">
      <c r="A550" s="1" t="s">
        <v>74</v>
      </c>
      <c r="B550" s="1" t="s">
        <v>15</v>
      </c>
      <c r="C550" s="1">
        <v>1</v>
      </c>
      <c r="D550" s="1" t="s">
        <v>35</v>
      </c>
      <c r="E550" s="1" t="s">
        <v>36</v>
      </c>
      <c r="F550" s="1" t="s">
        <v>8</v>
      </c>
      <c r="G550" s="1">
        <v>500.86629055629697</v>
      </c>
      <c r="H550" s="1" t="s">
        <v>9</v>
      </c>
      <c r="I550" s="1" t="s">
        <v>37</v>
      </c>
      <c r="J550" s="1" t="s">
        <v>37</v>
      </c>
      <c r="K550" s="1" t="s">
        <v>37</v>
      </c>
      <c r="L550" s="1" t="s">
        <v>38</v>
      </c>
      <c r="M550" s="1" t="s">
        <v>39</v>
      </c>
      <c r="N550" s="1" t="s">
        <v>40</v>
      </c>
      <c r="O550" s="1"/>
    </row>
    <row r="551" spans="1:15" x14ac:dyDescent="0.45">
      <c r="A551" s="1" t="s">
        <v>86</v>
      </c>
      <c r="B551" s="1" t="s">
        <v>15</v>
      </c>
      <c r="C551" s="1">
        <v>1</v>
      </c>
      <c r="D551" s="1" t="s">
        <v>35</v>
      </c>
      <c r="E551" s="1" t="s">
        <v>36</v>
      </c>
      <c r="F551" s="1" t="s">
        <v>8</v>
      </c>
      <c r="G551" s="1">
        <v>500.86629055629697</v>
      </c>
      <c r="H551" s="1" t="s">
        <v>9</v>
      </c>
      <c r="I551" s="1" t="s">
        <v>37</v>
      </c>
      <c r="J551" s="1" t="s">
        <v>37</v>
      </c>
      <c r="K551" s="1" t="s">
        <v>37</v>
      </c>
      <c r="L551" s="1" t="s">
        <v>38</v>
      </c>
      <c r="M551" s="1" t="s">
        <v>39</v>
      </c>
      <c r="N551" s="1" t="s">
        <v>40</v>
      </c>
      <c r="O551" s="1"/>
    </row>
    <row r="552" spans="1:15" x14ac:dyDescent="0.45">
      <c r="A552" s="1" t="s">
        <v>98</v>
      </c>
      <c r="B552" s="1" t="s">
        <v>15</v>
      </c>
      <c r="C552" s="1">
        <v>2</v>
      </c>
      <c r="D552" s="1" t="s">
        <v>35</v>
      </c>
      <c r="E552" s="1" t="s">
        <v>36</v>
      </c>
      <c r="F552" s="1" t="s">
        <v>8</v>
      </c>
      <c r="G552" s="1">
        <v>500.86629055629697</v>
      </c>
      <c r="H552" s="1">
        <v>37.21</v>
      </c>
      <c r="I552" s="1" t="s">
        <v>37</v>
      </c>
      <c r="J552" s="1" t="s">
        <v>37</v>
      </c>
      <c r="K552" s="1" t="s">
        <v>37</v>
      </c>
      <c r="L552" s="1" t="s">
        <v>38</v>
      </c>
      <c r="M552" s="1">
        <v>37.214372638961102</v>
      </c>
      <c r="N552" s="1" t="s">
        <v>40</v>
      </c>
      <c r="O552" s="1"/>
    </row>
    <row r="553" spans="1:15" x14ac:dyDescent="0.45">
      <c r="A553" s="1" t="s">
        <v>110</v>
      </c>
      <c r="B553" s="1" t="s">
        <v>15</v>
      </c>
      <c r="C553" s="1">
        <v>2</v>
      </c>
      <c r="D553" s="1" t="s">
        <v>35</v>
      </c>
      <c r="E553" s="1" t="s">
        <v>36</v>
      </c>
      <c r="F553" s="1" t="s">
        <v>8</v>
      </c>
      <c r="G553" s="1">
        <v>500.86629055629697</v>
      </c>
      <c r="H553" s="1">
        <v>37.020000000000003</v>
      </c>
      <c r="I553" s="1" t="s">
        <v>37</v>
      </c>
      <c r="J553" s="1" t="s">
        <v>37</v>
      </c>
      <c r="K553" s="1" t="s">
        <v>37</v>
      </c>
      <c r="L553" s="1" t="s">
        <v>38</v>
      </c>
      <c r="M553" s="1">
        <v>37.016304265712598</v>
      </c>
      <c r="N553" s="1" t="s">
        <v>40</v>
      </c>
      <c r="O553" s="1"/>
    </row>
    <row r="554" spans="1:15" x14ac:dyDescent="0.45">
      <c r="A554" s="1" t="s">
        <v>122</v>
      </c>
      <c r="B554" s="1" t="s">
        <v>15</v>
      </c>
      <c r="C554" s="1">
        <v>2</v>
      </c>
      <c r="D554" s="1" t="s">
        <v>35</v>
      </c>
      <c r="E554" s="1" t="s">
        <v>36</v>
      </c>
      <c r="F554" s="1" t="s">
        <v>8</v>
      </c>
      <c r="G554" s="1">
        <v>500.86629055629697</v>
      </c>
      <c r="H554" s="1">
        <v>37.92</v>
      </c>
      <c r="I554" s="1" t="s">
        <v>37</v>
      </c>
      <c r="J554" s="1" t="s">
        <v>37</v>
      </c>
      <c r="K554" s="1" t="s">
        <v>37</v>
      </c>
      <c r="L554" s="1" t="s">
        <v>38</v>
      </c>
      <c r="M554" s="1">
        <v>37.924635247116598</v>
      </c>
      <c r="N554" s="1" t="s">
        <v>40</v>
      </c>
      <c r="O554" s="1"/>
    </row>
    <row r="555" spans="1:15" x14ac:dyDescent="0.45">
      <c r="A555" s="1" t="s">
        <v>51</v>
      </c>
      <c r="B555" s="1" t="s">
        <v>15</v>
      </c>
      <c r="C555" s="1">
        <v>3</v>
      </c>
      <c r="D555" s="1" t="s">
        <v>35</v>
      </c>
      <c r="E555" s="1" t="s">
        <v>36</v>
      </c>
      <c r="F555" s="1" t="s">
        <v>8</v>
      </c>
      <c r="G555" s="1">
        <v>500.86629055629697</v>
      </c>
      <c r="H555" s="1">
        <v>39.090000000000003</v>
      </c>
      <c r="I555" s="1" t="s">
        <v>37</v>
      </c>
      <c r="J555" s="1" t="s">
        <v>37</v>
      </c>
      <c r="K555" s="1" t="s">
        <v>37</v>
      </c>
      <c r="L555" s="1" t="s">
        <v>38</v>
      </c>
      <c r="M555" s="1">
        <v>39.093700658089901</v>
      </c>
      <c r="N555" s="1" t="s">
        <v>40</v>
      </c>
      <c r="O555" s="1"/>
    </row>
    <row r="556" spans="1:15" x14ac:dyDescent="0.45">
      <c r="A556" s="1" t="s">
        <v>63</v>
      </c>
      <c r="B556" s="1" t="s">
        <v>15</v>
      </c>
      <c r="C556" s="1">
        <v>3</v>
      </c>
      <c r="D556" s="1" t="s">
        <v>35</v>
      </c>
      <c r="E556" s="1" t="s">
        <v>36</v>
      </c>
      <c r="F556" s="1" t="s">
        <v>8</v>
      </c>
      <c r="G556" s="1">
        <v>500.86629055629697</v>
      </c>
      <c r="H556" s="1" t="s">
        <v>9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39</v>
      </c>
      <c r="N556" s="1" t="s">
        <v>40</v>
      </c>
      <c r="O556" s="1"/>
    </row>
    <row r="557" spans="1:15" x14ac:dyDescent="0.45">
      <c r="A557" s="1" t="s">
        <v>134</v>
      </c>
      <c r="B557" s="1" t="s">
        <v>15</v>
      </c>
      <c r="C557" s="1">
        <v>3</v>
      </c>
      <c r="D557" s="1" t="s">
        <v>35</v>
      </c>
      <c r="E557" s="1" t="s">
        <v>36</v>
      </c>
      <c r="F557" s="1" t="s">
        <v>8</v>
      </c>
      <c r="G557" s="1">
        <v>500.86629055629697</v>
      </c>
      <c r="H557" s="1" t="s">
        <v>9</v>
      </c>
      <c r="I557" s="1" t="s">
        <v>37</v>
      </c>
      <c r="J557" s="1" t="s">
        <v>37</v>
      </c>
      <c r="K557" s="1" t="s">
        <v>37</v>
      </c>
      <c r="L557" s="1" t="s">
        <v>38</v>
      </c>
      <c r="M557" s="1" t="s">
        <v>39</v>
      </c>
      <c r="N557" s="1" t="s">
        <v>40</v>
      </c>
      <c r="O557" s="1"/>
    </row>
    <row r="558" spans="1:15" x14ac:dyDescent="0.45">
      <c r="A558" s="1" t="s">
        <v>75</v>
      </c>
      <c r="B558" s="1" t="s">
        <v>15</v>
      </c>
      <c r="C558" s="1">
        <v>4</v>
      </c>
      <c r="D558" s="1" t="s">
        <v>35</v>
      </c>
      <c r="E558" s="1" t="s">
        <v>36</v>
      </c>
      <c r="F558" s="1" t="s">
        <v>8</v>
      </c>
      <c r="G558" s="1">
        <v>500.86629055629697</v>
      </c>
      <c r="H558" s="1" t="s">
        <v>9</v>
      </c>
      <c r="I558" s="1" t="s">
        <v>37</v>
      </c>
      <c r="J558" s="1" t="s">
        <v>37</v>
      </c>
      <c r="K558" s="1" t="s">
        <v>37</v>
      </c>
      <c r="L558" s="1" t="s">
        <v>38</v>
      </c>
      <c r="M558" s="1" t="s">
        <v>39</v>
      </c>
      <c r="N558" s="1" t="s">
        <v>40</v>
      </c>
      <c r="O558" s="1"/>
    </row>
    <row r="559" spans="1:15" x14ac:dyDescent="0.45">
      <c r="A559" s="1" t="s">
        <v>87</v>
      </c>
      <c r="B559" s="1" t="s">
        <v>15</v>
      </c>
      <c r="C559" s="1">
        <v>4</v>
      </c>
      <c r="D559" s="1" t="s">
        <v>35</v>
      </c>
      <c r="E559" s="1" t="s">
        <v>36</v>
      </c>
      <c r="F559" s="1" t="s">
        <v>8</v>
      </c>
      <c r="G559" s="1">
        <v>500.86629055629697</v>
      </c>
      <c r="H559" s="1">
        <v>39.07</v>
      </c>
      <c r="I559" s="1" t="s">
        <v>37</v>
      </c>
      <c r="J559" s="1" t="s">
        <v>37</v>
      </c>
      <c r="K559" s="1" t="s">
        <v>37</v>
      </c>
      <c r="L559" s="1" t="s">
        <v>38</v>
      </c>
      <c r="M559" s="1">
        <v>39.068541173776701</v>
      </c>
      <c r="N559" s="1" t="s">
        <v>40</v>
      </c>
      <c r="O559" s="1"/>
    </row>
    <row r="560" spans="1:15" x14ac:dyDescent="0.45">
      <c r="A560" s="1" t="s">
        <v>99</v>
      </c>
      <c r="B560" s="1" t="s">
        <v>15</v>
      </c>
      <c r="C560" s="1">
        <v>4</v>
      </c>
      <c r="D560" s="1" t="s">
        <v>35</v>
      </c>
      <c r="E560" s="1" t="s">
        <v>36</v>
      </c>
      <c r="F560" s="1" t="s">
        <v>8</v>
      </c>
      <c r="G560" s="1">
        <v>500.86629055629697</v>
      </c>
      <c r="H560" s="1">
        <v>37.11</v>
      </c>
      <c r="I560" s="1" t="s">
        <v>37</v>
      </c>
      <c r="J560" s="1" t="s">
        <v>37</v>
      </c>
      <c r="K560" s="1" t="s">
        <v>37</v>
      </c>
      <c r="L560" s="1" t="s">
        <v>38</v>
      </c>
      <c r="M560" s="1">
        <v>37.106762380019497</v>
      </c>
      <c r="N560" s="1" t="s">
        <v>40</v>
      </c>
      <c r="O560" s="1"/>
    </row>
    <row r="561" spans="1:15" x14ac:dyDescent="0.45">
      <c r="A561" s="1" t="s">
        <v>111</v>
      </c>
      <c r="B561" s="1" t="s">
        <v>15</v>
      </c>
      <c r="C561" s="1">
        <v>5</v>
      </c>
      <c r="D561" s="1" t="s">
        <v>35</v>
      </c>
      <c r="E561" s="1" t="s">
        <v>36</v>
      </c>
      <c r="F561" s="1" t="s">
        <v>8</v>
      </c>
      <c r="G561" s="1">
        <v>500.86629055629697</v>
      </c>
      <c r="H561" s="1">
        <v>38.71</v>
      </c>
      <c r="I561" s="1" t="s">
        <v>37</v>
      </c>
      <c r="J561" s="1" t="s">
        <v>37</v>
      </c>
      <c r="K561" s="1" t="s">
        <v>37</v>
      </c>
      <c r="L561" s="1" t="s">
        <v>38</v>
      </c>
      <c r="M561" s="1">
        <v>38.710141791555401</v>
      </c>
      <c r="N561" s="1" t="s">
        <v>40</v>
      </c>
      <c r="O561" s="1"/>
    </row>
    <row r="562" spans="1:15" x14ac:dyDescent="0.45">
      <c r="A562" s="1" t="s">
        <v>123</v>
      </c>
      <c r="B562" s="1" t="s">
        <v>15</v>
      </c>
      <c r="C562" s="1">
        <v>5</v>
      </c>
      <c r="D562" s="1" t="s">
        <v>35</v>
      </c>
      <c r="E562" s="1" t="s">
        <v>36</v>
      </c>
      <c r="F562" s="1" t="s">
        <v>8</v>
      </c>
      <c r="G562" s="1">
        <v>500.86629055629697</v>
      </c>
      <c r="H562" s="1">
        <v>38.380000000000003</v>
      </c>
      <c r="I562" s="1" t="s">
        <v>37</v>
      </c>
      <c r="J562" s="1" t="s">
        <v>37</v>
      </c>
      <c r="K562" s="1" t="s">
        <v>37</v>
      </c>
      <c r="L562" s="1" t="s">
        <v>38</v>
      </c>
      <c r="M562" s="1">
        <v>38.3764329153502</v>
      </c>
      <c r="N562" s="1" t="s">
        <v>40</v>
      </c>
      <c r="O562" s="1"/>
    </row>
    <row r="563" spans="1:15" x14ac:dyDescent="0.45">
      <c r="A563" s="1" t="s">
        <v>135</v>
      </c>
      <c r="B563" s="1" t="s">
        <v>15</v>
      </c>
      <c r="C563" s="1">
        <v>5</v>
      </c>
      <c r="D563" s="1" t="s">
        <v>35</v>
      </c>
      <c r="E563" s="1" t="s">
        <v>36</v>
      </c>
      <c r="F563" s="1" t="s">
        <v>8</v>
      </c>
      <c r="G563" s="1">
        <v>500.86629055629697</v>
      </c>
      <c r="H563" s="1" t="s">
        <v>9</v>
      </c>
      <c r="I563" s="1" t="s">
        <v>37</v>
      </c>
      <c r="J563" s="1" t="s">
        <v>37</v>
      </c>
      <c r="K563" s="1" t="s">
        <v>37</v>
      </c>
      <c r="L563" s="1" t="s">
        <v>38</v>
      </c>
      <c r="M563" s="1" t="s">
        <v>39</v>
      </c>
      <c r="N563" s="1" t="s">
        <v>40</v>
      </c>
      <c r="O563" s="1"/>
    </row>
    <row r="564" spans="1:15" x14ac:dyDescent="0.45">
      <c r="A564" s="1" t="s">
        <v>49</v>
      </c>
      <c r="B564" s="1" t="s">
        <v>7</v>
      </c>
      <c r="C564" s="1" t="s">
        <v>7</v>
      </c>
      <c r="D564" s="1" t="s">
        <v>35</v>
      </c>
      <c r="E564" s="1" t="s">
        <v>36</v>
      </c>
      <c r="F564" s="1" t="s">
        <v>8</v>
      </c>
      <c r="G564" s="1">
        <v>500.86629055629697</v>
      </c>
      <c r="H564" s="1" t="s">
        <v>9</v>
      </c>
      <c r="I564" s="1" t="s">
        <v>37</v>
      </c>
      <c r="J564" s="1" t="s">
        <v>37</v>
      </c>
      <c r="K564" s="1" t="s">
        <v>37</v>
      </c>
      <c r="L564" s="1" t="s">
        <v>38</v>
      </c>
      <c r="M564" s="1" t="s">
        <v>39</v>
      </c>
      <c r="N564" s="1" t="s">
        <v>40</v>
      </c>
      <c r="O564" s="1"/>
    </row>
    <row r="565" spans="1:15" x14ac:dyDescent="0.45">
      <c r="A565" s="1" t="s">
        <v>61</v>
      </c>
      <c r="B565" s="1" t="s">
        <v>7</v>
      </c>
      <c r="C565" s="1" t="s">
        <v>7</v>
      </c>
      <c r="D565" s="1" t="s">
        <v>35</v>
      </c>
      <c r="E565" s="1" t="s">
        <v>36</v>
      </c>
      <c r="F565" s="1" t="s">
        <v>8</v>
      </c>
      <c r="G565" s="1">
        <v>500.86629055629697</v>
      </c>
      <c r="H565" s="1" t="s">
        <v>9</v>
      </c>
      <c r="I565" s="1" t="s">
        <v>37</v>
      </c>
      <c r="J565" s="1" t="s">
        <v>37</v>
      </c>
      <c r="K565" s="1" t="s">
        <v>37</v>
      </c>
      <c r="L565" s="1" t="s">
        <v>38</v>
      </c>
      <c r="M565" s="1" t="s">
        <v>39</v>
      </c>
      <c r="N565" s="1" t="s">
        <v>40</v>
      </c>
      <c r="O565" s="1"/>
    </row>
    <row r="566" spans="1:15" x14ac:dyDescent="0.45">
      <c r="A566" s="1" t="s">
        <v>73</v>
      </c>
      <c r="B566" s="1" t="s">
        <v>7</v>
      </c>
      <c r="C566" s="1" t="s">
        <v>7</v>
      </c>
      <c r="D566" s="1" t="s">
        <v>35</v>
      </c>
      <c r="E566" s="1" t="s">
        <v>36</v>
      </c>
      <c r="F566" s="1" t="s">
        <v>8</v>
      </c>
      <c r="G566" s="1">
        <v>500.86629055629697</v>
      </c>
      <c r="H566" s="1" t="s">
        <v>9</v>
      </c>
      <c r="I566" s="1" t="s">
        <v>37</v>
      </c>
      <c r="J566" s="1" t="s">
        <v>37</v>
      </c>
      <c r="K566" s="1" t="s">
        <v>37</v>
      </c>
      <c r="L566" s="1" t="s">
        <v>38</v>
      </c>
      <c r="M566" s="1" t="s">
        <v>39</v>
      </c>
      <c r="N566" s="1" t="s">
        <v>40</v>
      </c>
      <c r="O566" s="1"/>
    </row>
    <row r="567" spans="1:15" x14ac:dyDescent="0.45">
      <c r="A567" s="1" t="s">
        <v>85</v>
      </c>
      <c r="B567" s="1" t="s">
        <v>11</v>
      </c>
      <c r="C567" s="1" t="s">
        <v>43</v>
      </c>
      <c r="D567" s="1" t="s">
        <v>35</v>
      </c>
      <c r="E567" s="1" t="s">
        <v>36</v>
      </c>
      <c r="F567" s="1" t="s">
        <v>8</v>
      </c>
      <c r="G567" s="1">
        <v>500.86629055629697</v>
      </c>
      <c r="H567" s="1">
        <v>27.61</v>
      </c>
      <c r="I567" s="1" t="s">
        <v>42</v>
      </c>
      <c r="J567" s="1" t="s">
        <v>37</v>
      </c>
      <c r="K567" s="1" t="s">
        <v>37</v>
      </c>
      <c r="L567" s="1" t="s">
        <v>38</v>
      </c>
      <c r="M567" s="1">
        <v>27.607268542540201</v>
      </c>
      <c r="N567" s="1" t="s">
        <v>40</v>
      </c>
      <c r="O567" s="1"/>
    </row>
    <row r="568" spans="1:15" x14ac:dyDescent="0.45">
      <c r="A568" s="1" t="s">
        <v>97</v>
      </c>
      <c r="B568" s="1" t="s">
        <v>11</v>
      </c>
      <c r="C568" s="1" t="s">
        <v>43</v>
      </c>
      <c r="D568" s="1" t="s">
        <v>35</v>
      </c>
      <c r="E568" s="1" t="s">
        <v>36</v>
      </c>
      <c r="F568" s="1" t="s">
        <v>8</v>
      </c>
      <c r="G568" s="1">
        <v>500.86629055629697</v>
      </c>
      <c r="H568" s="1">
        <v>27.44</v>
      </c>
      <c r="I568" s="1" t="s">
        <v>42</v>
      </c>
      <c r="J568" s="1" t="s">
        <v>37</v>
      </c>
      <c r="K568" s="1" t="s">
        <v>37</v>
      </c>
      <c r="L568" s="1" t="s">
        <v>38</v>
      </c>
      <c r="M568" s="1">
        <v>27.436112069657199</v>
      </c>
      <c r="N568" s="1" t="s">
        <v>40</v>
      </c>
      <c r="O568" s="1"/>
    </row>
    <row r="569" spans="1:15" x14ac:dyDescent="0.45">
      <c r="A569" s="1" t="s">
        <v>109</v>
      </c>
      <c r="B569" s="1" t="s">
        <v>11</v>
      </c>
      <c r="C569" s="1" t="s">
        <v>43</v>
      </c>
      <c r="D569" s="1" t="s">
        <v>35</v>
      </c>
      <c r="E569" s="1" t="s">
        <v>36</v>
      </c>
      <c r="F569" s="1" t="s">
        <v>8</v>
      </c>
      <c r="G569" s="1">
        <v>500.86629055629697</v>
      </c>
      <c r="H569" s="1">
        <v>27.95</v>
      </c>
      <c r="I569" s="1" t="s">
        <v>42</v>
      </c>
      <c r="J569" s="1" t="s">
        <v>37</v>
      </c>
      <c r="K569" s="1" t="s">
        <v>37</v>
      </c>
      <c r="L569" s="1" t="s">
        <v>38</v>
      </c>
      <c r="M569" s="1">
        <v>27.951026239991201</v>
      </c>
      <c r="N569" s="1" t="s">
        <v>40</v>
      </c>
      <c r="O569" s="1"/>
    </row>
    <row r="570" spans="1:15" x14ac:dyDescent="0.45">
      <c r="A570" s="1" t="s">
        <v>50</v>
      </c>
      <c r="B570" s="1" t="s">
        <v>11</v>
      </c>
      <c r="C570" s="1" t="s">
        <v>41</v>
      </c>
      <c r="D570" s="1" t="s">
        <v>35</v>
      </c>
      <c r="E570" s="1" t="s">
        <v>36</v>
      </c>
      <c r="F570" s="1" t="s">
        <v>8</v>
      </c>
      <c r="G570" s="1">
        <v>500.86629055629697</v>
      </c>
      <c r="H570" s="1">
        <v>9.84</v>
      </c>
      <c r="I570" s="1" t="s">
        <v>42</v>
      </c>
      <c r="J570" s="1" t="s">
        <v>37</v>
      </c>
      <c r="K570" s="1" t="s">
        <v>37</v>
      </c>
      <c r="L570" s="1" t="s">
        <v>38</v>
      </c>
      <c r="M570" s="1">
        <v>9.8411078294605403</v>
      </c>
      <c r="N570" s="1" t="s">
        <v>40</v>
      </c>
      <c r="O570" s="1"/>
    </row>
    <row r="571" spans="1:15" x14ac:dyDescent="0.45">
      <c r="A571" s="1" t="s">
        <v>121</v>
      </c>
      <c r="B571" s="1" t="s">
        <v>11</v>
      </c>
      <c r="C571" s="1" t="s">
        <v>41</v>
      </c>
      <c r="D571" s="1" t="s">
        <v>35</v>
      </c>
      <c r="E571" s="1" t="s">
        <v>36</v>
      </c>
      <c r="F571" s="1" t="s">
        <v>8</v>
      </c>
      <c r="G571" s="1">
        <v>500.86629055629697</v>
      </c>
      <c r="H571" s="1">
        <v>9.81</v>
      </c>
      <c r="I571" s="1" t="s">
        <v>42</v>
      </c>
      <c r="J571" s="1" t="s">
        <v>37</v>
      </c>
      <c r="K571" s="1" t="s">
        <v>37</v>
      </c>
      <c r="L571" s="1" t="s">
        <v>38</v>
      </c>
      <c r="M571" s="1">
        <v>9.8092456166948807</v>
      </c>
      <c r="N571" s="1" t="s">
        <v>40</v>
      </c>
      <c r="O571" s="1"/>
    </row>
    <row r="572" spans="1:15" x14ac:dyDescent="0.45">
      <c r="A572" s="1" t="s">
        <v>133</v>
      </c>
      <c r="B572" s="1" t="s">
        <v>11</v>
      </c>
      <c r="C572" s="1" t="s">
        <v>41</v>
      </c>
      <c r="D572" s="1" t="s">
        <v>35</v>
      </c>
      <c r="E572" s="1" t="s">
        <v>36</v>
      </c>
      <c r="F572" s="1" t="s">
        <v>8</v>
      </c>
      <c r="G572" s="1">
        <v>500.86629055629697</v>
      </c>
      <c r="H572" s="1">
        <v>10.029999999999999</v>
      </c>
      <c r="I572" s="1" t="s">
        <v>42</v>
      </c>
      <c r="J572" s="1" t="s">
        <v>37</v>
      </c>
      <c r="K572" s="1" t="s">
        <v>37</v>
      </c>
      <c r="L572" s="1" t="s">
        <v>38</v>
      </c>
      <c r="M572" s="1">
        <v>10.031612010566</v>
      </c>
      <c r="N572" s="1" t="s">
        <v>40</v>
      </c>
      <c r="O572" s="1"/>
    </row>
  </sheetData>
  <sortState xmlns:xlrd2="http://schemas.microsoft.com/office/spreadsheetml/2017/richdata2" ref="A549:O572">
    <sortCondition ref="C549:C57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CE5B-EB54-48A4-AC36-1B6A6F398D6A}">
  <dimension ref="A1:J49"/>
  <sheetViews>
    <sheetView tabSelected="1" zoomScale="130" zoomScaleNormal="130" workbookViewId="0">
      <selection activeCell="J10" sqref="J10"/>
    </sheetView>
  </sheetViews>
  <sheetFormatPr defaultRowHeight="14.25" x14ac:dyDescent="0.45"/>
  <cols>
    <col min="2" max="2" width="10.3984375" customWidth="1"/>
    <col min="5" max="5" width="20.9296875" customWidth="1"/>
    <col min="8" max="8" width="12.53125" customWidth="1"/>
  </cols>
  <sheetData>
    <row r="1" spans="1:10" x14ac:dyDescent="0.45">
      <c r="A1" t="s">
        <v>1225</v>
      </c>
      <c r="B1" t="s">
        <v>1226</v>
      </c>
      <c r="C1" t="s">
        <v>756</v>
      </c>
      <c r="D1" t="s">
        <v>1227</v>
      </c>
      <c r="E1" t="s">
        <v>1232</v>
      </c>
      <c r="F1" t="s">
        <v>1233</v>
      </c>
      <c r="G1" t="s">
        <v>1234</v>
      </c>
      <c r="H1" t="s">
        <v>1235</v>
      </c>
    </row>
    <row r="2" spans="1:10" x14ac:dyDescent="0.45">
      <c r="A2" t="s">
        <v>7</v>
      </c>
      <c r="B2" t="s">
        <v>156</v>
      </c>
      <c r="D2" t="s">
        <v>9</v>
      </c>
      <c r="E2" t="s">
        <v>10</v>
      </c>
      <c r="F2">
        <v>0.98599999999999999</v>
      </c>
      <c r="G2">
        <v>-3.3730000000000002</v>
      </c>
      <c r="H2">
        <v>97.9</v>
      </c>
    </row>
    <row r="3" spans="1:10" x14ac:dyDescent="0.45">
      <c r="A3" t="s">
        <v>7</v>
      </c>
      <c r="B3" t="s">
        <v>156</v>
      </c>
      <c r="D3" t="s">
        <v>9</v>
      </c>
      <c r="E3" t="s">
        <v>10</v>
      </c>
      <c r="F3">
        <v>0.98599999999999999</v>
      </c>
      <c r="G3">
        <v>-3.3730000000000002</v>
      </c>
      <c r="H3">
        <v>97.9</v>
      </c>
    </row>
    <row r="4" spans="1:10" x14ac:dyDescent="0.45">
      <c r="A4" t="s">
        <v>7</v>
      </c>
      <c r="B4" t="s">
        <v>156</v>
      </c>
      <c r="D4" t="s">
        <v>9</v>
      </c>
      <c r="E4" t="s">
        <v>10</v>
      </c>
      <c r="F4">
        <v>0.98599999999999999</v>
      </c>
      <c r="G4">
        <v>-3.3730000000000002</v>
      </c>
      <c r="H4">
        <v>97.9</v>
      </c>
    </row>
    <row r="5" spans="1:10" x14ac:dyDescent="0.45">
      <c r="A5" t="s">
        <v>11</v>
      </c>
      <c r="B5" t="s">
        <v>1240</v>
      </c>
      <c r="C5" t="s">
        <v>19</v>
      </c>
      <c r="D5" t="s">
        <v>9</v>
      </c>
      <c r="E5" t="s">
        <v>10</v>
      </c>
      <c r="F5">
        <v>0.98599999999999999</v>
      </c>
      <c r="G5">
        <v>-3.3730000000000002</v>
      </c>
      <c r="H5">
        <v>97.9</v>
      </c>
    </row>
    <row r="6" spans="1:10" x14ac:dyDescent="0.45">
      <c r="A6" t="s">
        <v>11</v>
      </c>
      <c r="B6" t="s">
        <v>1240</v>
      </c>
      <c r="C6" t="s">
        <v>19</v>
      </c>
      <c r="D6">
        <v>36.659999999999997</v>
      </c>
      <c r="E6">
        <v>1</v>
      </c>
      <c r="F6">
        <v>0.98599999999999999</v>
      </c>
      <c r="G6">
        <v>-3.3730000000000002</v>
      </c>
      <c r="H6">
        <v>97.9</v>
      </c>
      <c r="J6">
        <f>36.66+38.4/2</f>
        <v>55.86</v>
      </c>
    </row>
    <row r="7" spans="1:10" x14ac:dyDescent="0.45">
      <c r="A7" t="s">
        <v>11</v>
      </c>
      <c r="B7" t="s">
        <v>1240</v>
      </c>
      <c r="C7" t="s">
        <v>19</v>
      </c>
      <c r="D7">
        <v>38.4</v>
      </c>
      <c r="E7">
        <v>1</v>
      </c>
      <c r="F7">
        <v>0.98599999999999999</v>
      </c>
      <c r="G7">
        <v>-3.3730000000000002</v>
      </c>
      <c r="H7">
        <v>97.9</v>
      </c>
      <c r="J7">
        <f>36.66+38.4/2</f>
        <v>55.86</v>
      </c>
    </row>
    <row r="8" spans="1:10" x14ac:dyDescent="0.45">
      <c r="A8" t="s">
        <v>11</v>
      </c>
      <c r="B8" t="s">
        <v>1238</v>
      </c>
      <c r="C8" t="s">
        <v>12</v>
      </c>
      <c r="D8">
        <v>36.299999999999997</v>
      </c>
      <c r="E8">
        <v>10</v>
      </c>
      <c r="F8">
        <v>0.98599999999999999</v>
      </c>
      <c r="G8">
        <v>-3.3730000000000002</v>
      </c>
      <c r="H8">
        <v>97.9</v>
      </c>
      <c r="J8">
        <f>36.66+38.4</f>
        <v>75.06</v>
      </c>
    </row>
    <row r="9" spans="1:10" x14ac:dyDescent="0.45">
      <c r="A9" t="s">
        <v>11</v>
      </c>
      <c r="B9" t="s">
        <v>1238</v>
      </c>
      <c r="C9" t="s">
        <v>12</v>
      </c>
      <c r="D9">
        <v>36.65</v>
      </c>
      <c r="E9">
        <v>10</v>
      </c>
      <c r="F9">
        <v>0.98599999999999999</v>
      </c>
      <c r="G9">
        <v>-3.3730000000000002</v>
      </c>
      <c r="H9">
        <v>97.9</v>
      </c>
      <c r="J9">
        <f>75.06/2</f>
        <v>37.53</v>
      </c>
    </row>
    <row r="10" spans="1:10" x14ac:dyDescent="0.45">
      <c r="A10" t="s">
        <v>11</v>
      </c>
      <c r="B10" t="s">
        <v>1238</v>
      </c>
      <c r="C10" t="s">
        <v>12</v>
      </c>
      <c r="D10">
        <v>37.49</v>
      </c>
      <c r="E10">
        <v>10</v>
      </c>
      <c r="F10">
        <v>0.98599999999999999</v>
      </c>
      <c r="G10">
        <v>-3.3730000000000002</v>
      </c>
      <c r="H10">
        <v>97.9</v>
      </c>
    </row>
    <row r="11" spans="1:10" x14ac:dyDescent="0.45">
      <c r="A11" t="s">
        <v>11</v>
      </c>
      <c r="B11" t="s">
        <v>1239</v>
      </c>
      <c r="C11" t="s">
        <v>16</v>
      </c>
      <c r="D11">
        <v>33.299999999999997</v>
      </c>
      <c r="E11">
        <v>100</v>
      </c>
      <c r="F11">
        <v>0.98599999999999999</v>
      </c>
      <c r="G11">
        <v>-3.3730000000000002</v>
      </c>
      <c r="H11">
        <v>97.9</v>
      </c>
    </row>
    <row r="12" spans="1:10" x14ac:dyDescent="0.45">
      <c r="A12" t="s">
        <v>11</v>
      </c>
      <c r="B12" t="s">
        <v>1239</v>
      </c>
      <c r="C12" t="s">
        <v>16</v>
      </c>
      <c r="D12">
        <v>32.78</v>
      </c>
      <c r="E12">
        <v>100</v>
      </c>
      <c r="F12">
        <v>0.98599999999999999</v>
      </c>
      <c r="G12">
        <v>-3.3730000000000002</v>
      </c>
      <c r="H12">
        <v>97.9</v>
      </c>
    </row>
    <row r="13" spans="1:10" x14ac:dyDescent="0.45">
      <c r="A13" t="s">
        <v>11</v>
      </c>
      <c r="B13" t="s">
        <v>1239</v>
      </c>
      <c r="C13" t="s">
        <v>16</v>
      </c>
      <c r="D13">
        <v>32.549999999999997</v>
      </c>
      <c r="E13">
        <v>100</v>
      </c>
      <c r="F13">
        <v>0.98599999999999999</v>
      </c>
      <c r="G13">
        <v>-3.3730000000000002</v>
      </c>
      <c r="H13">
        <v>97.9</v>
      </c>
    </row>
    <row r="14" spans="1:10" x14ac:dyDescent="0.45">
      <c r="A14" t="s">
        <v>11</v>
      </c>
      <c r="B14" t="s">
        <v>858</v>
      </c>
      <c r="C14" t="s">
        <v>21</v>
      </c>
      <c r="D14">
        <v>29.78</v>
      </c>
      <c r="E14">
        <v>1000</v>
      </c>
      <c r="F14">
        <v>0.98599999999999999</v>
      </c>
      <c r="G14">
        <v>-3.3730000000000002</v>
      </c>
      <c r="H14">
        <v>97.9</v>
      </c>
    </row>
    <row r="15" spans="1:10" x14ac:dyDescent="0.45">
      <c r="A15" t="s">
        <v>11</v>
      </c>
      <c r="B15" t="s">
        <v>858</v>
      </c>
      <c r="C15" t="s">
        <v>21</v>
      </c>
      <c r="D15">
        <v>30.03</v>
      </c>
      <c r="E15">
        <v>1000</v>
      </c>
      <c r="F15">
        <v>0.98599999999999999</v>
      </c>
      <c r="G15">
        <v>-3.3730000000000002</v>
      </c>
      <c r="H15">
        <v>97.9</v>
      </c>
    </row>
    <row r="16" spans="1:10" x14ac:dyDescent="0.45">
      <c r="A16" t="s">
        <v>11</v>
      </c>
      <c r="B16" t="s">
        <v>858</v>
      </c>
      <c r="C16" t="s">
        <v>21</v>
      </c>
      <c r="D16">
        <v>29.78</v>
      </c>
      <c r="E16">
        <v>1000</v>
      </c>
      <c r="F16">
        <v>0.98599999999999999</v>
      </c>
      <c r="G16">
        <v>-3.3730000000000002</v>
      </c>
      <c r="H16">
        <v>97.9</v>
      </c>
    </row>
    <row r="17" spans="1:8" x14ac:dyDescent="0.45">
      <c r="A17" t="s">
        <v>11</v>
      </c>
      <c r="B17" t="s">
        <v>1241</v>
      </c>
      <c r="C17" t="s">
        <v>13</v>
      </c>
      <c r="D17">
        <v>28.39</v>
      </c>
      <c r="E17">
        <v>10000</v>
      </c>
      <c r="F17">
        <v>0.98599999999999999</v>
      </c>
      <c r="G17">
        <v>-3.3730000000000002</v>
      </c>
      <c r="H17">
        <v>97.9</v>
      </c>
    </row>
    <row r="18" spans="1:8" x14ac:dyDescent="0.45">
      <c r="A18" t="s">
        <v>11</v>
      </c>
      <c r="B18" t="s">
        <v>1241</v>
      </c>
      <c r="C18" t="s">
        <v>13</v>
      </c>
      <c r="D18">
        <v>26.16</v>
      </c>
      <c r="E18">
        <v>10000</v>
      </c>
      <c r="F18">
        <v>0.98599999999999999</v>
      </c>
      <c r="G18">
        <v>-3.3730000000000002</v>
      </c>
      <c r="H18">
        <v>97.9</v>
      </c>
    </row>
    <row r="19" spans="1:8" x14ac:dyDescent="0.45">
      <c r="A19" t="s">
        <v>11</v>
      </c>
      <c r="B19" t="s">
        <v>1241</v>
      </c>
      <c r="C19" t="s">
        <v>13</v>
      </c>
      <c r="D19">
        <v>26.94</v>
      </c>
      <c r="E19">
        <v>10000</v>
      </c>
      <c r="F19">
        <v>0.98599999999999999</v>
      </c>
      <c r="G19">
        <v>-3.3730000000000002</v>
      </c>
      <c r="H19">
        <v>97.9</v>
      </c>
    </row>
    <row r="20" spans="1:8" x14ac:dyDescent="0.45">
      <c r="A20" t="s">
        <v>11</v>
      </c>
      <c r="B20" t="s">
        <v>1242</v>
      </c>
      <c r="C20" t="s">
        <v>17</v>
      </c>
      <c r="D20">
        <v>22.77</v>
      </c>
      <c r="E20">
        <v>100000</v>
      </c>
      <c r="F20">
        <v>0.98599999999999999</v>
      </c>
      <c r="G20">
        <v>-3.3730000000000002</v>
      </c>
      <c r="H20">
        <v>97.9</v>
      </c>
    </row>
    <row r="21" spans="1:8" x14ac:dyDescent="0.45">
      <c r="A21" t="s">
        <v>11</v>
      </c>
      <c r="B21" t="s">
        <v>1242</v>
      </c>
      <c r="C21" t="s">
        <v>17</v>
      </c>
      <c r="D21">
        <v>22.74</v>
      </c>
      <c r="E21">
        <v>100000</v>
      </c>
      <c r="F21">
        <v>0.98599999999999999</v>
      </c>
      <c r="G21">
        <v>-3.3730000000000002</v>
      </c>
      <c r="H21">
        <v>97.9</v>
      </c>
    </row>
    <row r="22" spans="1:8" x14ac:dyDescent="0.45">
      <c r="A22" t="s">
        <v>11</v>
      </c>
      <c r="B22" t="s">
        <v>1242</v>
      </c>
      <c r="C22" t="s">
        <v>17</v>
      </c>
      <c r="D22">
        <v>20.41</v>
      </c>
      <c r="E22">
        <v>100000</v>
      </c>
      <c r="F22">
        <v>0.98599999999999999</v>
      </c>
      <c r="G22">
        <v>-3.3730000000000002</v>
      </c>
      <c r="H22">
        <v>97.9</v>
      </c>
    </row>
    <row r="23" spans="1:8" x14ac:dyDescent="0.45">
      <c r="A23" t="s">
        <v>11</v>
      </c>
      <c r="B23" t="s">
        <v>1243</v>
      </c>
      <c r="C23" t="s">
        <v>22</v>
      </c>
      <c r="D23">
        <v>19.23</v>
      </c>
      <c r="E23">
        <v>1000000</v>
      </c>
      <c r="F23">
        <v>0.98599999999999999</v>
      </c>
      <c r="G23">
        <v>-3.3730000000000002</v>
      </c>
      <c r="H23">
        <v>97.9</v>
      </c>
    </row>
    <row r="24" spans="1:8" x14ac:dyDescent="0.45">
      <c r="A24" t="s">
        <v>11</v>
      </c>
      <c r="B24" t="s">
        <v>1243</v>
      </c>
      <c r="C24" t="s">
        <v>22</v>
      </c>
      <c r="D24">
        <v>19.66</v>
      </c>
      <c r="E24">
        <v>1000000</v>
      </c>
      <c r="F24">
        <v>0.98599999999999999</v>
      </c>
      <c r="G24">
        <v>-3.3730000000000002</v>
      </c>
      <c r="H24">
        <v>97.9</v>
      </c>
    </row>
    <row r="25" spans="1:8" x14ac:dyDescent="0.45">
      <c r="A25" t="s">
        <v>11</v>
      </c>
      <c r="B25" t="s">
        <v>1243</v>
      </c>
      <c r="C25" t="s">
        <v>22</v>
      </c>
      <c r="D25">
        <v>19.95</v>
      </c>
      <c r="E25">
        <v>1000000</v>
      </c>
      <c r="F25">
        <v>0.98599999999999999</v>
      </c>
      <c r="G25">
        <v>-3.3730000000000002</v>
      </c>
      <c r="H25">
        <v>97.9</v>
      </c>
    </row>
    <row r="26" spans="1:8" x14ac:dyDescent="0.45">
      <c r="A26" t="s">
        <v>11</v>
      </c>
      <c r="B26" t="s">
        <v>1244</v>
      </c>
      <c r="C26" t="s">
        <v>14</v>
      </c>
      <c r="D26">
        <v>16.190000000000001</v>
      </c>
      <c r="E26">
        <v>10000000</v>
      </c>
      <c r="F26">
        <v>0.98599999999999999</v>
      </c>
      <c r="G26">
        <v>-3.3730000000000002</v>
      </c>
      <c r="H26">
        <v>97.9</v>
      </c>
    </row>
    <row r="27" spans="1:8" x14ac:dyDescent="0.45">
      <c r="A27" t="s">
        <v>11</v>
      </c>
      <c r="B27" t="s">
        <v>1244</v>
      </c>
      <c r="C27" t="s">
        <v>14</v>
      </c>
      <c r="D27">
        <v>15.55</v>
      </c>
      <c r="E27">
        <v>10000000</v>
      </c>
      <c r="F27">
        <v>0.98599999999999999</v>
      </c>
      <c r="G27">
        <v>-3.3730000000000002</v>
      </c>
      <c r="H27">
        <v>97.9</v>
      </c>
    </row>
    <row r="28" spans="1:8" x14ac:dyDescent="0.45">
      <c r="A28" t="s">
        <v>11</v>
      </c>
      <c r="B28" t="s">
        <v>1244</v>
      </c>
      <c r="C28" t="s">
        <v>14</v>
      </c>
      <c r="D28">
        <v>15.59</v>
      </c>
      <c r="E28">
        <v>10000000</v>
      </c>
      <c r="F28">
        <v>0.98599999999999999</v>
      </c>
      <c r="G28">
        <v>-3.3730000000000002</v>
      </c>
      <c r="H28">
        <v>97.9</v>
      </c>
    </row>
    <row r="29" spans="1:8" x14ac:dyDescent="0.45">
      <c r="A29" t="s">
        <v>11</v>
      </c>
      <c r="B29" t="s">
        <v>1245</v>
      </c>
      <c r="C29" t="s">
        <v>20</v>
      </c>
      <c r="D29">
        <v>11.92</v>
      </c>
      <c r="E29">
        <v>100000000</v>
      </c>
      <c r="F29">
        <v>0.98599999999999999</v>
      </c>
      <c r="G29">
        <v>-3.3730000000000002</v>
      </c>
      <c r="H29">
        <v>97.9</v>
      </c>
    </row>
    <row r="30" spans="1:8" x14ac:dyDescent="0.45">
      <c r="A30" t="s">
        <v>11</v>
      </c>
      <c r="B30" t="s">
        <v>1245</v>
      </c>
      <c r="C30" t="s">
        <v>20</v>
      </c>
      <c r="D30">
        <v>11.66</v>
      </c>
      <c r="E30">
        <v>100000000</v>
      </c>
      <c r="F30">
        <v>0.98599999999999999</v>
      </c>
      <c r="G30">
        <v>-3.3730000000000002</v>
      </c>
      <c r="H30">
        <v>97.9</v>
      </c>
    </row>
    <row r="31" spans="1:8" x14ac:dyDescent="0.45">
      <c r="A31" t="s">
        <v>11</v>
      </c>
      <c r="B31" t="s">
        <v>1245</v>
      </c>
      <c r="C31" t="s">
        <v>20</v>
      </c>
      <c r="D31">
        <v>12.39</v>
      </c>
      <c r="E31">
        <v>100000000</v>
      </c>
      <c r="F31">
        <v>0.98599999999999999</v>
      </c>
      <c r="G31">
        <v>-3.3730000000000002</v>
      </c>
      <c r="H31">
        <v>97.9</v>
      </c>
    </row>
    <row r="32" spans="1:8" x14ac:dyDescent="0.45">
      <c r="A32" t="s">
        <v>15</v>
      </c>
      <c r="B32">
        <v>1</v>
      </c>
      <c r="C32">
        <v>46</v>
      </c>
      <c r="D32">
        <v>17.05</v>
      </c>
      <c r="E32">
        <v>4581439.3176058903</v>
      </c>
      <c r="F32">
        <v>0.98599999999999999</v>
      </c>
      <c r="G32">
        <v>-3.3730000000000002</v>
      </c>
      <c r="H32">
        <v>97.9</v>
      </c>
    </row>
    <row r="33" spans="1:8" x14ac:dyDescent="0.45">
      <c r="A33" t="s">
        <v>15</v>
      </c>
      <c r="B33">
        <v>1</v>
      </c>
      <c r="C33">
        <v>46</v>
      </c>
      <c r="D33">
        <v>17.010000000000002</v>
      </c>
      <c r="E33">
        <v>4724870.2784078699</v>
      </c>
      <c r="F33">
        <v>0.98599999999999999</v>
      </c>
      <c r="G33">
        <v>-3.3730000000000002</v>
      </c>
      <c r="H33">
        <v>97.9</v>
      </c>
    </row>
    <row r="34" spans="1:8" x14ac:dyDescent="0.45">
      <c r="A34" t="s">
        <v>15</v>
      </c>
      <c r="B34">
        <v>1</v>
      </c>
      <c r="C34">
        <v>46</v>
      </c>
      <c r="D34">
        <v>17.260000000000002</v>
      </c>
      <c r="E34">
        <v>3971315.1879537799</v>
      </c>
      <c r="F34">
        <v>0.98599999999999999</v>
      </c>
      <c r="G34">
        <v>-3.3730000000000002</v>
      </c>
      <c r="H34">
        <v>97.9</v>
      </c>
    </row>
    <row r="35" spans="1:8" x14ac:dyDescent="0.45">
      <c r="A35" t="s">
        <v>15</v>
      </c>
      <c r="B35">
        <v>2</v>
      </c>
      <c r="C35">
        <v>33</v>
      </c>
      <c r="D35">
        <v>15.55</v>
      </c>
      <c r="E35">
        <v>12758018.259807</v>
      </c>
      <c r="F35">
        <v>0.98599999999999999</v>
      </c>
      <c r="G35">
        <v>-3.3730000000000002</v>
      </c>
      <c r="H35">
        <v>97.9</v>
      </c>
    </row>
    <row r="36" spans="1:8" x14ac:dyDescent="0.45">
      <c r="A36" t="s">
        <v>15</v>
      </c>
      <c r="B36">
        <v>2</v>
      </c>
      <c r="C36">
        <v>33</v>
      </c>
      <c r="D36">
        <v>36.43</v>
      </c>
      <c r="E36">
        <v>8.2623576314990999</v>
      </c>
      <c r="F36">
        <v>0.98599999999999999</v>
      </c>
      <c r="G36">
        <v>-3.3730000000000002</v>
      </c>
      <c r="H36">
        <v>97.9</v>
      </c>
    </row>
    <row r="37" spans="1:8" x14ac:dyDescent="0.45">
      <c r="A37" t="s">
        <v>15</v>
      </c>
      <c r="B37">
        <v>2</v>
      </c>
      <c r="C37">
        <v>33</v>
      </c>
      <c r="D37">
        <v>15.25</v>
      </c>
      <c r="E37">
        <v>15717605.8500534</v>
      </c>
      <c r="F37">
        <v>0.98599999999999999</v>
      </c>
      <c r="G37">
        <v>-3.3730000000000002</v>
      </c>
      <c r="H37">
        <v>97.9</v>
      </c>
    </row>
    <row r="38" spans="1:8" x14ac:dyDescent="0.45">
      <c r="A38" t="s">
        <v>15</v>
      </c>
      <c r="B38">
        <v>3</v>
      </c>
      <c r="C38">
        <v>30</v>
      </c>
      <c r="D38">
        <v>22.14</v>
      </c>
      <c r="E38">
        <v>142443.33594052901</v>
      </c>
      <c r="F38">
        <v>0.98599999999999999</v>
      </c>
      <c r="G38">
        <v>-3.3730000000000002</v>
      </c>
      <c r="H38">
        <v>97.9</v>
      </c>
    </row>
    <row r="39" spans="1:8" x14ac:dyDescent="0.45">
      <c r="A39" t="s">
        <v>15</v>
      </c>
      <c r="B39">
        <v>3</v>
      </c>
      <c r="C39">
        <v>30</v>
      </c>
      <c r="D39">
        <v>22.04</v>
      </c>
      <c r="E39">
        <v>151935.95004582699</v>
      </c>
      <c r="F39">
        <v>0.98599999999999999</v>
      </c>
      <c r="G39">
        <v>-3.3730000000000002</v>
      </c>
      <c r="H39">
        <v>97.9</v>
      </c>
    </row>
    <row r="40" spans="1:8" x14ac:dyDescent="0.45">
      <c r="A40" t="s">
        <v>15</v>
      </c>
      <c r="B40">
        <v>3</v>
      </c>
      <c r="C40">
        <v>30</v>
      </c>
      <c r="D40">
        <v>22.02</v>
      </c>
      <c r="E40">
        <v>154763.368402839</v>
      </c>
      <c r="F40">
        <v>0.98599999999999999</v>
      </c>
      <c r="G40">
        <v>-3.3730000000000002</v>
      </c>
      <c r="H40">
        <v>97.9</v>
      </c>
    </row>
    <row r="41" spans="1:8" x14ac:dyDescent="0.45">
      <c r="A41" t="s">
        <v>15</v>
      </c>
      <c r="B41">
        <v>4</v>
      </c>
      <c r="C41">
        <v>24</v>
      </c>
      <c r="D41" t="s">
        <v>9</v>
      </c>
      <c r="E41" t="s">
        <v>10</v>
      </c>
      <c r="F41">
        <v>0.98599999999999999</v>
      </c>
      <c r="G41">
        <v>-3.3730000000000002</v>
      </c>
      <c r="H41">
        <v>97.9</v>
      </c>
    </row>
    <row r="42" spans="1:8" x14ac:dyDescent="0.45">
      <c r="A42" t="s">
        <v>15</v>
      </c>
      <c r="B42">
        <v>4</v>
      </c>
      <c r="C42">
        <v>24</v>
      </c>
      <c r="D42">
        <v>19.77</v>
      </c>
      <c r="E42">
        <v>715720.84005779005</v>
      </c>
      <c r="F42">
        <v>0.98599999999999999</v>
      </c>
      <c r="G42">
        <v>-3.3730000000000002</v>
      </c>
      <c r="H42">
        <v>97.9</v>
      </c>
    </row>
    <row r="43" spans="1:8" x14ac:dyDescent="0.45">
      <c r="A43" t="s">
        <v>15</v>
      </c>
      <c r="B43">
        <v>4</v>
      </c>
      <c r="C43">
        <v>24</v>
      </c>
      <c r="D43">
        <v>20.03</v>
      </c>
      <c r="E43">
        <v>601665.88798426499</v>
      </c>
      <c r="F43">
        <v>0.98599999999999999</v>
      </c>
      <c r="G43">
        <v>-3.3730000000000002</v>
      </c>
      <c r="H43">
        <v>97.9</v>
      </c>
    </row>
    <row r="44" spans="1:8" x14ac:dyDescent="0.45">
      <c r="A44" t="s">
        <v>15</v>
      </c>
      <c r="B44">
        <v>5</v>
      </c>
      <c r="C44" t="s">
        <v>860</v>
      </c>
      <c r="D44">
        <v>39.9</v>
      </c>
      <c r="E44">
        <v>0.76898342201294401</v>
      </c>
      <c r="F44">
        <v>0.98599999999999999</v>
      </c>
      <c r="G44">
        <v>-3.3730000000000002</v>
      </c>
      <c r="H44">
        <v>97.9</v>
      </c>
    </row>
    <row r="45" spans="1:8" x14ac:dyDescent="0.45">
      <c r="A45" t="s">
        <v>15</v>
      </c>
      <c r="B45">
        <v>5</v>
      </c>
      <c r="C45" t="s">
        <v>861</v>
      </c>
      <c r="D45" t="s">
        <v>9</v>
      </c>
      <c r="E45" t="s">
        <v>10</v>
      </c>
      <c r="F45">
        <v>0.98599999999999999</v>
      </c>
      <c r="G45">
        <v>-3.3730000000000002</v>
      </c>
      <c r="H45">
        <v>97.9</v>
      </c>
    </row>
    <row r="46" spans="1:8" x14ac:dyDescent="0.45">
      <c r="A46" t="s">
        <v>15</v>
      </c>
      <c r="B46">
        <v>5</v>
      </c>
      <c r="C46" t="s">
        <v>862</v>
      </c>
      <c r="D46">
        <v>37.58</v>
      </c>
      <c r="E46">
        <v>3.74568285708094</v>
      </c>
      <c r="F46">
        <v>0.98599999999999999</v>
      </c>
      <c r="G46">
        <v>-3.3730000000000002</v>
      </c>
      <c r="H46">
        <v>97.9</v>
      </c>
    </row>
    <row r="47" spans="1:8" x14ac:dyDescent="0.45">
      <c r="A47" t="s">
        <v>15</v>
      </c>
      <c r="B47">
        <v>6</v>
      </c>
      <c r="C47" t="s">
        <v>863</v>
      </c>
      <c r="D47" t="s">
        <v>9</v>
      </c>
      <c r="E47" t="s">
        <v>10</v>
      </c>
      <c r="F47">
        <v>0.98599999999999999</v>
      </c>
      <c r="G47">
        <v>-3.3730000000000002</v>
      </c>
      <c r="H47">
        <v>97.9</v>
      </c>
    </row>
    <row r="48" spans="1:8" x14ac:dyDescent="0.45">
      <c r="A48" t="s">
        <v>15</v>
      </c>
      <c r="B48">
        <v>6</v>
      </c>
      <c r="C48" t="s">
        <v>864</v>
      </c>
      <c r="D48">
        <v>38.979999999999997</v>
      </c>
      <c r="E48">
        <v>1.44565772484032</v>
      </c>
      <c r="F48">
        <v>0.98599999999999999</v>
      </c>
      <c r="G48">
        <v>-3.3730000000000002</v>
      </c>
      <c r="H48">
        <v>97.9</v>
      </c>
    </row>
    <row r="49" spans="1:8" x14ac:dyDescent="0.45">
      <c r="A49" t="s">
        <v>15</v>
      </c>
      <c r="B49">
        <v>6</v>
      </c>
      <c r="C49" t="s">
        <v>865</v>
      </c>
      <c r="D49">
        <v>37.729999999999997</v>
      </c>
      <c r="E49">
        <v>3.3822167494743902</v>
      </c>
      <c r="F49">
        <v>0.98599999999999999</v>
      </c>
      <c r="G49">
        <v>-3.3730000000000002</v>
      </c>
      <c r="H49">
        <v>97.9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D6F66-6791-42FE-9849-4944B3B73301}">
  <dimension ref="A1:H97"/>
  <sheetViews>
    <sheetView topLeftCell="A82" zoomScale="130" zoomScaleNormal="130" workbookViewId="0">
      <selection activeCell="D86" sqref="D86"/>
    </sheetView>
  </sheetViews>
  <sheetFormatPr defaultRowHeight="14.25" x14ac:dyDescent="0.45"/>
  <sheetData>
    <row r="1" spans="1:8" x14ac:dyDescent="0.45">
      <c r="A1" t="s">
        <v>1225</v>
      </c>
      <c r="B1" t="s">
        <v>1226</v>
      </c>
      <c r="C1" t="s">
        <v>756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</row>
    <row r="2" spans="1:8" x14ac:dyDescent="0.45">
      <c r="A2" t="s">
        <v>15</v>
      </c>
      <c r="B2">
        <v>1</v>
      </c>
      <c r="C2" t="s">
        <v>770</v>
      </c>
      <c r="D2" t="s">
        <v>9</v>
      </c>
      <c r="E2" t="s">
        <v>37</v>
      </c>
      <c r="F2" t="s">
        <v>37</v>
      </c>
      <c r="G2" t="s">
        <v>38</v>
      </c>
    </row>
    <row r="3" spans="1:8" x14ac:dyDescent="0.45">
      <c r="A3" t="s">
        <v>15</v>
      </c>
      <c r="B3">
        <v>1</v>
      </c>
      <c r="C3" t="s">
        <v>771</v>
      </c>
      <c r="D3" t="s">
        <v>9</v>
      </c>
      <c r="E3" t="s">
        <v>37</v>
      </c>
      <c r="F3" t="s">
        <v>37</v>
      </c>
      <c r="G3" t="s">
        <v>38</v>
      </c>
    </row>
    <row r="4" spans="1:8" x14ac:dyDescent="0.45">
      <c r="A4" t="s">
        <v>15</v>
      </c>
      <c r="B4">
        <v>1</v>
      </c>
      <c r="C4" t="s">
        <v>772</v>
      </c>
      <c r="D4" t="s">
        <v>9</v>
      </c>
      <c r="E4" t="s">
        <v>37</v>
      </c>
      <c r="F4" t="s">
        <v>37</v>
      </c>
      <c r="G4" t="s">
        <v>38</v>
      </c>
    </row>
    <row r="5" spans="1:8" x14ac:dyDescent="0.45">
      <c r="A5" t="s">
        <v>15</v>
      </c>
      <c r="B5">
        <v>2</v>
      </c>
      <c r="C5" t="s">
        <v>773</v>
      </c>
      <c r="D5" t="s">
        <v>9</v>
      </c>
      <c r="E5" t="s">
        <v>37</v>
      </c>
      <c r="F5" t="s">
        <v>37</v>
      </c>
      <c r="G5" t="s">
        <v>38</v>
      </c>
    </row>
    <row r="6" spans="1:8" x14ac:dyDescent="0.45">
      <c r="A6" t="s">
        <v>15</v>
      </c>
      <c r="B6">
        <v>2</v>
      </c>
      <c r="C6" t="s">
        <v>777</v>
      </c>
      <c r="D6">
        <v>38.89</v>
      </c>
      <c r="E6" t="s">
        <v>37</v>
      </c>
      <c r="F6" t="s">
        <v>37</v>
      </c>
      <c r="G6" t="s">
        <v>38</v>
      </c>
    </row>
    <row r="7" spans="1:8" x14ac:dyDescent="0.45">
      <c r="A7" t="s">
        <v>15</v>
      </c>
      <c r="B7">
        <v>2</v>
      </c>
      <c r="C7" t="s">
        <v>778</v>
      </c>
      <c r="D7" t="s">
        <v>9</v>
      </c>
      <c r="E7" t="s">
        <v>37</v>
      </c>
      <c r="F7" t="s">
        <v>37</v>
      </c>
      <c r="G7" t="s">
        <v>38</v>
      </c>
    </row>
    <row r="8" spans="1:8" x14ac:dyDescent="0.45">
      <c r="A8" t="s">
        <v>15</v>
      </c>
      <c r="B8">
        <v>3</v>
      </c>
      <c r="C8" t="s">
        <v>774</v>
      </c>
      <c r="D8" t="s">
        <v>9</v>
      </c>
      <c r="E8" t="s">
        <v>37</v>
      </c>
      <c r="F8" t="s">
        <v>37</v>
      </c>
      <c r="G8" t="s">
        <v>38</v>
      </c>
    </row>
    <row r="9" spans="1:8" x14ac:dyDescent="0.45">
      <c r="A9" t="s">
        <v>15</v>
      </c>
      <c r="B9">
        <v>3</v>
      </c>
      <c r="C9" t="s">
        <v>779</v>
      </c>
      <c r="D9">
        <v>39.44</v>
      </c>
      <c r="E9" t="s">
        <v>37</v>
      </c>
      <c r="F9" t="s">
        <v>37</v>
      </c>
      <c r="G9" t="s">
        <v>38</v>
      </c>
    </row>
    <row r="10" spans="1:8" x14ac:dyDescent="0.45">
      <c r="A10" t="s">
        <v>15</v>
      </c>
      <c r="B10">
        <v>3</v>
      </c>
      <c r="C10" t="s">
        <v>780</v>
      </c>
      <c r="D10" t="s">
        <v>9</v>
      </c>
      <c r="E10" t="s">
        <v>37</v>
      </c>
      <c r="F10" t="s">
        <v>37</v>
      </c>
      <c r="G10" t="s">
        <v>38</v>
      </c>
    </row>
    <row r="11" spans="1:8" x14ac:dyDescent="0.45">
      <c r="A11" t="s">
        <v>15</v>
      </c>
      <c r="B11">
        <v>4</v>
      </c>
      <c r="C11" t="s">
        <v>775</v>
      </c>
      <c r="D11" t="s">
        <v>9</v>
      </c>
      <c r="E11" t="s">
        <v>37</v>
      </c>
      <c r="F11" t="s">
        <v>37</v>
      </c>
      <c r="G11" t="s">
        <v>38</v>
      </c>
    </row>
    <row r="12" spans="1:8" x14ac:dyDescent="0.45">
      <c r="A12" t="s">
        <v>15</v>
      </c>
      <c r="B12">
        <v>4</v>
      </c>
      <c r="C12" t="s">
        <v>781</v>
      </c>
      <c r="D12" t="s">
        <v>9</v>
      </c>
      <c r="E12" t="s">
        <v>37</v>
      </c>
      <c r="F12" t="s">
        <v>37</v>
      </c>
      <c r="G12" t="s">
        <v>38</v>
      </c>
    </row>
    <row r="13" spans="1:8" x14ac:dyDescent="0.45">
      <c r="A13" t="s">
        <v>15</v>
      </c>
      <c r="B13">
        <v>4</v>
      </c>
      <c r="C13" t="s">
        <v>782</v>
      </c>
      <c r="D13" t="s">
        <v>9</v>
      </c>
      <c r="E13" t="s">
        <v>37</v>
      </c>
      <c r="F13" t="s">
        <v>37</v>
      </c>
      <c r="G13" t="s">
        <v>38</v>
      </c>
    </row>
    <row r="14" spans="1:8" x14ac:dyDescent="0.45">
      <c r="A14" t="s">
        <v>15</v>
      </c>
      <c r="B14">
        <v>5</v>
      </c>
      <c r="C14" t="s">
        <v>776</v>
      </c>
      <c r="D14" t="s">
        <v>9</v>
      </c>
      <c r="E14" t="s">
        <v>37</v>
      </c>
      <c r="F14" t="s">
        <v>37</v>
      </c>
      <c r="G14" t="s">
        <v>38</v>
      </c>
    </row>
    <row r="15" spans="1:8" x14ac:dyDescent="0.45">
      <c r="A15" t="s">
        <v>15</v>
      </c>
      <c r="B15">
        <v>5</v>
      </c>
      <c r="C15" t="s">
        <v>783</v>
      </c>
      <c r="D15" t="s">
        <v>9</v>
      </c>
      <c r="E15" t="s">
        <v>37</v>
      </c>
      <c r="F15" t="s">
        <v>37</v>
      </c>
      <c r="G15" t="s">
        <v>38</v>
      </c>
    </row>
    <row r="16" spans="1:8" x14ac:dyDescent="0.45">
      <c r="A16" t="s">
        <v>15</v>
      </c>
      <c r="B16">
        <v>5</v>
      </c>
      <c r="C16" t="s">
        <v>784</v>
      </c>
      <c r="D16" t="s">
        <v>9</v>
      </c>
      <c r="E16" t="s">
        <v>37</v>
      </c>
      <c r="F16" t="s">
        <v>37</v>
      </c>
      <c r="G16" t="s">
        <v>38</v>
      </c>
    </row>
    <row r="17" spans="1:7" x14ac:dyDescent="0.45">
      <c r="A17" t="s">
        <v>15</v>
      </c>
      <c r="B17">
        <v>6</v>
      </c>
      <c r="C17" t="s">
        <v>785</v>
      </c>
      <c r="D17" t="s">
        <v>9</v>
      </c>
      <c r="E17" t="s">
        <v>37</v>
      </c>
      <c r="F17" t="s">
        <v>37</v>
      </c>
      <c r="G17" t="s">
        <v>38</v>
      </c>
    </row>
    <row r="18" spans="1:7" x14ac:dyDescent="0.45">
      <c r="A18" t="s">
        <v>15</v>
      </c>
      <c r="B18">
        <v>6</v>
      </c>
      <c r="C18" t="s">
        <v>786</v>
      </c>
      <c r="D18" t="s">
        <v>9</v>
      </c>
      <c r="E18" t="s">
        <v>37</v>
      </c>
      <c r="F18" t="s">
        <v>37</v>
      </c>
      <c r="G18" t="s">
        <v>38</v>
      </c>
    </row>
    <row r="19" spans="1:7" x14ac:dyDescent="0.45">
      <c r="A19" t="s">
        <v>15</v>
      </c>
      <c r="B19">
        <v>6</v>
      </c>
      <c r="C19" t="s">
        <v>787</v>
      </c>
      <c r="D19" t="s">
        <v>9</v>
      </c>
      <c r="E19" t="s">
        <v>37</v>
      </c>
      <c r="F19" t="s">
        <v>37</v>
      </c>
      <c r="G19" t="s">
        <v>38</v>
      </c>
    </row>
    <row r="20" spans="1:7" x14ac:dyDescent="0.45">
      <c r="A20" t="s">
        <v>15</v>
      </c>
      <c r="B20">
        <v>7</v>
      </c>
      <c r="C20" t="s">
        <v>788</v>
      </c>
      <c r="D20" t="s">
        <v>9</v>
      </c>
      <c r="E20" t="s">
        <v>37</v>
      </c>
      <c r="F20" t="s">
        <v>37</v>
      </c>
      <c r="G20" t="s">
        <v>38</v>
      </c>
    </row>
    <row r="21" spans="1:7" x14ac:dyDescent="0.45">
      <c r="A21" t="s">
        <v>15</v>
      </c>
      <c r="B21">
        <v>7</v>
      </c>
      <c r="C21" t="s">
        <v>789</v>
      </c>
      <c r="D21" t="s">
        <v>9</v>
      </c>
      <c r="E21" t="s">
        <v>37</v>
      </c>
      <c r="F21" t="s">
        <v>37</v>
      </c>
      <c r="G21" t="s">
        <v>38</v>
      </c>
    </row>
    <row r="22" spans="1:7" x14ac:dyDescent="0.45">
      <c r="A22" t="s">
        <v>15</v>
      </c>
      <c r="B22">
        <v>7</v>
      </c>
      <c r="C22" t="s">
        <v>790</v>
      </c>
      <c r="D22" t="s">
        <v>9</v>
      </c>
      <c r="E22" t="s">
        <v>37</v>
      </c>
      <c r="F22" t="s">
        <v>37</v>
      </c>
      <c r="G22" t="s">
        <v>38</v>
      </c>
    </row>
    <row r="23" spans="1:7" x14ac:dyDescent="0.45">
      <c r="A23" t="s">
        <v>15</v>
      </c>
      <c r="B23">
        <v>8</v>
      </c>
      <c r="C23" t="s">
        <v>791</v>
      </c>
      <c r="D23" t="s">
        <v>9</v>
      </c>
      <c r="E23" t="s">
        <v>37</v>
      </c>
      <c r="F23" t="s">
        <v>37</v>
      </c>
      <c r="G23" t="s">
        <v>38</v>
      </c>
    </row>
    <row r="24" spans="1:7" x14ac:dyDescent="0.45">
      <c r="A24" t="s">
        <v>15</v>
      </c>
      <c r="B24">
        <v>8</v>
      </c>
      <c r="C24" t="s">
        <v>792</v>
      </c>
      <c r="D24" t="s">
        <v>9</v>
      </c>
      <c r="E24" t="s">
        <v>37</v>
      </c>
      <c r="F24" t="s">
        <v>37</v>
      </c>
      <c r="G24" t="s">
        <v>38</v>
      </c>
    </row>
    <row r="25" spans="1:7" x14ac:dyDescent="0.45">
      <c r="A25" t="s">
        <v>15</v>
      </c>
      <c r="B25">
        <v>8</v>
      </c>
      <c r="C25" t="s">
        <v>793</v>
      </c>
      <c r="D25" t="s">
        <v>9</v>
      </c>
      <c r="E25" t="s">
        <v>37</v>
      </c>
      <c r="F25" t="s">
        <v>37</v>
      </c>
      <c r="G25" t="s">
        <v>38</v>
      </c>
    </row>
    <row r="26" spans="1:7" x14ac:dyDescent="0.45">
      <c r="A26" t="s">
        <v>15</v>
      </c>
      <c r="B26">
        <v>9</v>
      </c>
      <c r="C26" t="s">
        <v>794</v>
      </c>
      <c r="D26" t="s">
        <v>9</v>
      </c>
      <c r="E26" t="s">
        <v>37</v>
      </c>
      <c r="F26" t="s">
        <v>37</v>
      </c>
      <c r="G26" t="s">
        <v>38</v>
      </c>
    </row>
    <row r="27" spans="1:7" x14ac:dyDescent="0.45">
      <c r="A27" t="s">
        <v>15</v>
      </c>
      <c r="B27">
        <v>9</v>
      </c>
      <c r="C27" t="s">
        <v>795</v>
      </c>
      <c r="D27" t="s">
        <v>9</v>
      </c>
      <c r="E27" t="s">
        <v>37</v>
      </c>
      <c r="F27" t="s">
        <v>37</v>
      </c>
      <c r="G27" t="s">
        <v>38</v>
      </c>
    </row>
    <row r="28" spans="1:7" x14ac:dyDescent="0.45">
      <c r="A28" t="s">
        <v>15</v>
      </c>
      <c r="B28">
        <v>9</v>
      </c>
      <c r="C28" t="s">
        <v>796</v>
      </c>
      <c r="D28" t="s">
        <v>9</v>
      </c>
      <c r="E28" t="s">
        <v>37</v>
      </c>
      <c r="F28" t="s">
        <v>37</v>
      </c>
      <c r="G28" t="s">
        <v>38</v>
      </c>
    </row>
    <row r="29" spans="1:7" x14ac:dyDescent="0.45">
      <c r="A29" t="s">
        <v>15</v>
      </c>
      <c r="B29">
        <v>10</v>
      </c>
      <c r="C29" t="s">
        <v>797</v>
      </c>
      <c r="D29" t="s">
        <v>9</v>
      </c>
      <c r="E29" t="s">
        <v>37</v>
      </c>
      <c r="F29" t="s">
        <v>37</v>
      </c>
      <c r="G29" t="s">
        <v>38</v>
      </c>
    </row>
    <row r="30" spans="1:7" x14ac:dyDescent="0.45">
      <c r="A30" t="s">
        <v>15</v>
      </c>
      <c r="B30">
        <v>10</v>
      </c>
      <c r="C30" t="s">
        <v>798</v>
      </c>
      <c r="D30" t="s">
        <v>9</v>
      </c>
      <c r="E30" t="s">
        <v>37</v>
      </c>
      <c r="F30" t="s">
        <v>37</v>
      </c>
      <c r="G30" t="s">
        <v>38</v>
      </c>
    </row>
    <row r="31" spans="1:7" x14ac:dyDescent="0.45">
      <c r="A31" t="s">
        <v>15</v>
      </c>
      <c r="B31">
        <v>10</v>
      </c>
      <c r="C31" t="s">
        <v>799</v>
      </c>
      <c r="D31" t="s">
        <v>9</v>
      </c>
      <c r="E31" t="s">
        <v>37</v>
      </c>
      <c r="F31" t="s">
        <v>37</v>
      </c>
      <c r="G31" t="s">
        <v>38</v>
      </c>
    </row>
    <row r="32" spans="1:7" x14ac:dyDescent="0.45">
      <c r="A32" t="s">
        <v>15</v>
      </c>
      <c r="B32">
        <v>11</v>
      </c>
      <c r="C32" t="s">
        <v>800</v>
      </c>
      <c r="D32">
        <v>38.53</v>
      </c>
      <c r="E32" t="s">
        <v>37</v>
      </c>
      <c r="F32" t="s">
        <v>37</v>
      </c>
      <c r="G32" t="s">
        <v>38</v>
      </c>
    </row>
    <row r="33" spans="1:7" x14ac:dyDescent="0.45">
      <c r="A33" t="s">
        <v>15</v>
      </c>
      <c r="B33">
        <v>11</v>
      </c>
      <c r="C33" t="s">
        <v>801</v>
      </c>
      <c r="D33" t="s">
        <v>9</v>
      </c>
      <c r="E33" t="s">
        <v>37</v>
      </c>
      <c r="F33" t="s">
        <v>37</v>
      </c>
      <c r="G33" t="s">
        <v>38</v>
      </c>
    </row>
    <row r="34" spans="1:7" x14ac:dyDescent="0.45">
      <c r="A34" t="s">
        <v>15</v>
      </c>
      <c r="B34">
        <v>11</v>
      </c>
      <c r="C34" t="s">
        <v>802</v>
      </c>
      <c r="D34" t="s">
        <v>9</v>
      </c>
      <c r="E34" t="s">
        <v>37</v>
      </c>
      <c r="F34" t="s">
        <v>37</v>
      </c>
      <c r="G34" t="s">
        <v>38</v>
      </c>
    </row>
    <row r="35" spans="1:7" x14ac:dyDescent="0.45">
      <c r="A35" t="s">
        <v>15</v>
      </c>
      <c r="B35">
        <v>12</v>
      </c>
      <c r="C35" t="s">
        <v>803</v>
      </c>
      <c r="D35" t="s">
        <v>9</v>
      </c>
      <c r="E35" t="s">
        <v>37</v>
      </c>
      <c r="F35" t="s">
        <v>37</v>
      </c>
      <c r="G35" t="s">
        <v>38</v>
      </c>
    </row>
    <row r="36" spans="1:7" x14ac:dyDescent="0.45">
      <c r="A36" t="s">
        <v>15</v>
      </c>
      <c r="B36">
        <v>12</v>
      </c>
      <c r="C36" t="s">
        <v>804</v>
      </c>
      <c r="D36" t="s">
        <v>9</v>
      </c>
      <c r="E36" t="s">
        <v>37</v>
      </c>
      <c r="F36" t="s">
        <v>37</v>
      </c>
      <c r="G36" t="s">
        <v>38</v>
      </c>
    </row>
    <row r="37" spans="1:7" x14ac:dyDescent="0.45">
      <c r="A37" t="s">
        <v>15</v>
      </c>
      <c r="B37">
        <v>12</v>
      </c>
      <c r="C37" t="s">
        <v>805</v>
      </c>
      <c r="D37" t="s">
        <v>9</v>
      </c>
      <c r="E37" t="s">
        <v>37</v>
      </c>
      <c r="F37" t="s">
        <v>37</v>
      </c>
      <c r="G37" t="s">
        <v>38</v>
      </c>
    </row>
    <row r="38" spans="1:7" x14ac:dyDescent="0.45">
      <c r="A38" t="s">
        <v>15</v>
      </c>
      <c r="B38">
        <v>13</v>
      </c>
      <c r="C38" t="s">
        <v>808</v>
      </c>
      <c r="D38" t="s">
        <v>9</v>
      </c>
      <c r="E38" t="s">
        <v>37</v>
      </c>
      <c r="F38" t="s">
        <v>37</v>
      </c>
      <c r="G38" t="s">
        <v>38</v>
      </c>
    </row>
    <row r="39" spans="1:7" x14ac:dyDescent="0.45">
      <c r="A39" t="s">
        <v>15</v>
      </c>
      <c r="B39">
        <v>13</v>
      </c>
      <c r="C39" t="s">
        <v>809</v>
      </c>
      <c r="D39" t="s">
        <v>9</v>
      </c>
      <c r="E39" t="s">
        <v>37</v>
      </c>
      <c r="F39" t="s">
        <v>37</v>
      </c>
      <c r="G39" t="s">
        <v>38</v>
      </c>
    </row>
    <row r="40" spans="1:7" x14ac:dyDescent="0.45">
      <c r="A40" t="s">
        <v>15</v>
      </c>
      <c r="B40">
        <v>13</v>
      </c>
      <c r="C40" t="s">
        <v>810</v>
      </c>
      <c r="D40" t="s">
        <v>9</v>
      </c>
      <c r="E40" t="s">
        <v>37</v>
      </c>
      <c r="F40" t="s">
        <v>37</v>
      </c>
      <c r="G40" t="s">
        <v>38</v>
      </c>
    </row>
    <row r="41" spans="1:7" x14ac:dyDescent="0.45">
      <c r="A41" t="s">
        <v>15</v>
      </c>
      <c r="B41">
        <v>14</v>
      </c>
      <c r="C41" t="s">
        <v>811</v>
      </c>
      <c r="D41" t="s">
        <v>9</v>
      </c>
      <c r="E41" t="s">
        <v>37</v>
      </c>
      <c r="F41" t="s">
        <v>37</v>
      </c>
      <c r="G41" t="s">
        <v>38</v>
      </c>
    </row>
    <row r="42" spans="1:7" x14ac:dyDescent="0.45">
      <c r="A42" t="s">
        <v>15</v>
      </c>
      <c r="B42">
        <v>14</v>
      </c>
      <c r="C42" t="s">
        <v>812</v>
      </c>
      <c r="D42" t="s">
        <v>9</v>
      </c>
      <c r="E42" t="s">
        <v>37</v>
      </c>
      <c r="F42" t="s">
        <v>37</v>
      </c>
      <c r="G42" t="s">
        <v>38</v>
      </c>
    </row>
    <row r="43" spans="1:7" x14ac:dyDescent="0.45">
      <c r="A43" t="s">
        <v>15</v>
      </c>
      <c r="B43">
        <v>14</v>
      </c>
      <c r="C43" t="s">
        <v>813</v>
      </c>
      <c r="D43" t="s">
        <v>9</v>
      </c>
      <c r="E43" t="s">
        <v>37</v>
      </c>
      <c r="F43" t="s">
        <v>37</v>
      </c>
      <c r="G43" t="s">
        <v>38</v>
      </c>
    </row>
    <row r="44" spans="1:7" x14ac:dyDescent="0.45">
      <c r="A44" t="s">
        <v>15</v>
      </c>
      <c r="B44">
        <v>15</v>
      </c>
      <c r="C44" t="s">
        <v>814</v>
      </c>
      <c r="D44">
        <v>35.1</v>
      </c>
      <c r="E44" t="s">
        <v>37</v>
      </c>
      <c r="F44" t="s">
        <v>37</v>
      </c>
      <c r="G44" t="s">
        <v>38</v>
      </c>
    </row>
    <row r="45" spans="1:7" x14ac:dyDescent="0.45">
      <c r="A45" t="s">
        <v>15</v>
      </c>
      <c r="B45">
        <v>15</v>
      </c>
      <c r="C45" t="s">
        <v>815</v>
      </c>
      <c r="D45">
        <v>37.409999999999997</v>
      </c>
      <c r="E45" t="s">
        <v>37</v>
      </c>
      <c r="F45" t="s">
        <v>37</v>
      </c>
      <c r="G45" t="s">
        <v>38</v>
      </c>
    </row>
    <row r="46" spans="1:7" x14ac:dyDescent="0.45">
      <c r="A46" t="s">
        <v>15</v>
      </c>
      <c r="B46">
        <v>15</v>
      </c>
      <c r="C46" t="s">
        <v>816</v>
      </c>
      <c r="D46">
        <v>36.72</v>
      </c>
      <c r="E46" t="s">
        <v>37</v>
      </c>
      <c r="F46" t="s">
        <v>37</v>
      </c>
      <c r="G46" t="s">
        <v>38</v>
      </c>
    </row>
    <row r="47" spans="1:7" x14ac:dyDescent="0.45">
      <c r="A47" t="s">
        <v>15</v>
      </c>
      <c r="B47">
        <v>16</v>
      </c>
      <c r="C47" t="s">
        <v>817</v>
      </c>
      <c r="D47">
        <v>39.26</v>
      </c>
      <c r="E47" t="s">
        <v>37</v>
      </c>
      <c r="F47" t="s">
        <v>37</v>
      </c>
      <c r="G47" t="s">
        <v>38</v>
      </c>
    </row>
    <row r="48" spans="1:7" x14ac:dyDescent="0.45">
      <c r="A48" t="s">
        <v>15</v>
      </c>
      <c r="B48">
        <v>16</v>
      </c>
      <c r="C48" t="s">
        <v>818</v>
      </c>
      <c r="D48" t="s">
        <v>9</v>
      </c>
      <c r="E48" t="s">
        <v>37</v>
      </c>
      <c r="F48" t="s">
        <v>37</v>
      </c>
      <c r="G48" t="s">
        <v>38</v>
      </c>
    </row>
    <row r="49" spans="1:7" x14ac:dyDescent="0.45">
      <c r="A49" t="s">
        <v>15</v>
      </c>
      <c r="B49">
        <v>16</v>
      </c>
      <c r="C49" t="s">
        <v>819</v>
      </c>
      <c r="D49" t="s">
        <v>9</v>
      </c>
      <c r="E49" t="s">
        <v>37</v>
      </c>
      <c r="F49" t="s">
        <v>37</v>
      </c>
      <c r="G49" t="s">
        <v>38</v>
      </c>
    </row>
    <row r="50" spans="1:7" x14ac:dyDescent="0.45">
      <c r="A50" t="s">
        <v>15</v>
      </c>
      <c r="B50">
        <v>17</v>
      </c>
      <c r="C50" t="s">
        <v>820</v>
      </c>
      <c r="D50" t="s">
        <v>9</v>
      </c>
      <c r="E50" t="s">
        <v>37</v>
      </c>
      <c r="F50" t="s">
        <v>37</v>
      </c>
      <c r="G50" t="s">
        <v>38</v>
      </c>
    </row>
    <row r="51" spans="1:7" x14ac:dyDescent="0.45">
      <c r="A51" t="s">
        <v>15</v>
      </c>
      <c r="B51">
        <v>17</v>
      </c>
      <c r="C51" t="s">
        <v>821</v>
      </c>
      <c r="D51">
        <v>37.619999999999997</v>
      </c>
      <c r="E51" t="s">
        <v>37</v>
      </c>
      <c r="F51" t="s">
        <v>37</v>
      </c>
      <c r="G51" t="s">
        <v>38</v>
      </c>
    </row>
    <row r="52" spans="1:7" x14ac:dyDescent="0.45">
      <c r="A52" t="s">
        <v>15</v>
      </c>
      <c r="B52">
        <v>17</v>
      </c>
      <c r="C52" t="s">
        <v>822</v>
      </c>
      <c r="D52">
        <v>38.64</v>
      </c>
      <c r="E52" t="s">
        <v>37</v>
      </c>
      <c r="F52" t="s">
        <v>37</v>
      </c>
      <c r="G52" t="s">
        <v>38</v>
      </c>
    </row>
    <row r="53" spans="1:7" x14ac:dyDescent="0.45">
      <c r="A53" t="s">
        <v>15</v>
      </c>
      <c r="B53">
        <v>18</v>
      </c>
      <c r="C53" t="s">
        <v>823</v>
      </c>
      <c r="D53">
        <v>37.9</v>
      </c>
      <c r="E53" t="s">
        <v>37</v>
      </c>
      <c r="F53" t="s">
        <v>37</v>
      </c>
      <c r="G53" t="s">
        <v>38</v>
      </c>
    </row>
    <row r="54" spans="1:7" x14ac:dyDescent="0.45">
      <c r="A54" t="s">
        <v>15</v>
      </c>
      <c r="B54">
        <v>18</v>
      </c>
      <c r="C54" t="s">
        <v>824</v>
      </c>
      <c r="D54" t="s">
        <v>9</v>
      </c>
      <c r="E54" t="s">
        <v>37</v>
      </c>
      <c r="F54" t="s">
        <v>37</v>
      </c>
      <c r="G54" t="s">
        <v>38</v>
      </c>
    </row>
    <row r="55" spans="1:7" x14ac:dyDescent="0.45">
      <c r="A55" t="s">
        <v>15</v>
      </c>
      <c r="B55">
        <v>18</v>
      </c>
      <c r="C55" t="s">
        <v>825</v>
      </c>
      <c r="D55" t="s">
        <v>9</v>
      </c>
      <c r="E55" t="s">
        <v>37</v>
      </c>
      <c r="F55" t="s">
        <v>37</v>
      </c>
      <c r="G55" t="s">
        <v>38</v>
      </c>
    </row>
    <row r="56" spans="1:7" x14ac:dyDescent="0.45">
      <c r="A56" t="s">
        <v>15</v>
      </c>
      <c r="B56">
        <v>19</v>
      </c>
      <c r="C56" t="s">
        <v>826</v>
      </c>
      <c r="D56" t="s">
        <v>9</v>
      </c>
      <c r="E56" t="s">
        <v>37</v>
      </c>
      <c r="F56" t="s">
        <v>37</v>
      </c>
      <c r="G56" t="s">
        <v>38</v>
      </c>
    </row>
    <row r="57" spans="1:7" x14ac:dyDescent="0.45">
      <c r="A57" t="s">
        <v>15</v>
      </c>
      <c r="B57">
        <v>19</v>
      </c>
      <c r="C57" t="s">
        <v>827</v>
      </c>
      <c r="D57" t="s">
        <v>9</v>
      </c>
      <c r="E57" t="s">
        <v>37</v>
      </c>
      <c r="F57" t="s">
        <v>37</v>
      </c>
      <c r="G57" t="s">
        <v>38</v>
      </c>
    </row>
    <row r="58" spans="1:7" x14ac:dyDescent="0.45">
      <c r="A58" t="s">
        <v>15</v>
      </c>
      <c r="B58">
        <v>19</v>
      </c>
      <c r="C58" t="s">
        <v>828</v>
      </c>
      <c r="D58" t="s">
        <v>9</v>
      </c>
      <c r="E58" t="s">
        <v>37</v>
      </c>
      <c r="F58" t="s">
        <v>37</v>
      </c>
      <c r="G58" t="s">
        <v>38</v>
      </c>
    </row>
    <row r="59" spans="1:7" x14ac:dyDescent="0.45">
      <c r="A59" t="s">
        <v>15</v>
      </c>
      <c r="B59">
        <v>20</v>
      </c>
      <c r="C59" t="s">
        <v>829</v>
      </c>
      <c r="D59" t="s">
        <v>9</v>
      </c>
      <c r="E59" t="s">
        <v>37</v>
      </c>
      <c r="F59" t="s">
        <v>37</v>
      </c>
      <c r="G59" t="s">
        <v>38</v>
      </c>
    </row>
    <row r="60" spans="1:7" x14ac:dyDescent="0.45">
      <c r="A60" t="s">
        <v>15</v>
      </c>
      <c r="B60">
        <v>20</v>
      </c>
      <c r="C60" t="s">
        <v>830</v>
      </c>
      <c r="D60" t="s">
        <v>9</v>
      </c>
      <c r="E60" t="s">
        <v>37</v>
      </c>
      <c r="F60" t="s">
        <v>37</v>
      </c>
      <c r="G60" t="s">
        <v>38</v>
      </c>
    </row>
    <row r="61" spans="1:7" x14ac:dyDescent="0.45">
      <c r="A61" t="s">
        <v>15</v>
      </c>
      <c r="B61">
        <v>20</v>
      </c>
      <c r="C61" t="s">
        <v>831</v>
      </c>
      <c r="D61" t="s">
        <v>9</v>
      </c>
      <c r="E61" t="s">
        <v>37</v>
      </c>
      <c r="F61" t="s">
        <v>37</v>
      </c>
      <c r="G61" t="s">
        <v>38</v>
      </c>
    </row>
    <row r="62" spans="1:7" x14ac:dyDescent="0.45">
      <c r="A62" t="s">
        <v>15</v>
      </c>
      <c r="B62">
        <v>21</v>
      </c>
      <c r="C62" t="s">
        <v>832</v>
      </c>
      <c r="D62" t="s">
        <v>9</v>
      </c>
      <c r="E62" t="s">
        <v>37</v>
      </c>
      <c r="F62" t="s">
        <v>37</v>
      </c>
      <c r="G62" t="s">
        <v>38</v>
      </c>
    </row>
    <row r="63" spans="1:7" x14ac:dyDescent="0.45">
      <c r="A63" t="s">
        <v>15</v>
      </c>
      <c r="B63">
        <v>21</v>
      </c>
      <c r="C63" t="s">
        <v>833</v>
      </c>
      <c r="D63" t="s">
        <v>9</v>
      </c>
      <c r="E63" t="s">
        <v>37</v>
      </c>
      <c r="F63" t="s">
        <v>37</v>
      </c>
      <c r="G63" t="s">
        <v>38</v>
      </c>
    </row>
    <row r="64" spans="1:7" x14ac:dyDescent="0.45">
      <c r="A64" t="s">
        <v>15</v>
      </c>
      <c r="B64">
        <v>21</v>
      </c>
      <c r="C64" t="s">
        <v>1263</v>
      </c>
      <c r="D64" t="s">
        <v>9</v>
      </c>
      <c r="E64" t="s">
        <v>37</v>
      </c>
      <c r="F64" t="s">
        <v>37</v>
      </c>
      <c r="G64" t="s">
        <v>38</v>
      </c>
    </row>
    <row r="65" spans="1:7" x14ac:dyDescent="0.45">
      <c r="A65" t="s">
        <v>15</v>
      </c>
      <c r="B65">
        <v>22</v>
      </c>
      <c r="C65" t="s">
        <v>834</v>
      </c>
      <c r="D65" t="s">
        <v>9</v>
      </c>
      <c r="E65" t="s">
        <v>37</v>
      </c>
      <c r="F65" t="s">
        <v>37</v>
      </c>
      <c r="G65" t="s">
        <v>38</v>
      </c>
    </row>
    <row r="66" spans="1:7" x14ac:dyDescent="0.45">
      <c r="A66" t="s">
        <v>15</v>
      </c>
      <c r="B66">
        <v>22</v>
      </c>
      <c r="C66" t="s">
        <v>835</v>
      </c>
      <c r="D66" t="s">
        <v>9</v>
      </c>
      <c r="E66" t="s">
        <v>37</v>
      </c>
      <c r="F66" t="s">
        <v>37</v>
      </c>
      <c r="G66" t="s">
        <v>38</v>
      </c>
    </row>
    <row r="67" spans="1:7" x14ac:dyDescent="0.45">
      <c r="A67" t="s">
        <v>15</v>
      </c>
      <c r="B67">
        <v>22</v>
      </c>
      <c r="C67" t="s">
        <v>836</v>
      </c>
      <c r="D67">
        <v>38.76</v>
      </c>
      <c r="E67" t="s">
        <v>37</v>
      </c>
      <c r="F67" t="s">
        <v>37</v>
      </c>
      <c r="G67" t="s">
        <v>38</v>
      </c>
    </row>
    <row r="68" spans="1:7" x14ac:dyDescent="0.45">
      <c r="A68" t="s">
        <v>15</v>
      </c>
      <c r="B68">
        <v>23</v>
      </c>
      <c r="C68" t="s">
        <v>837</v>
      </c>
      <c r="D68" t="s">
        <v>9</v>
      </c>
      <c r="E68" t="s">
        <v>37</v>
      </c>
      <c r="F68" t="s">
        <v>37</v>
      </c>
      <c r="G68" t="s">
        <v>38</v>
      </c>
    </row>
    <row r="69" spans="1:7" x14ac:dyDescent="0.45">
      <c r="A69" t="s">
        <v>15</v>
      </c>
      <c r="B69">
        <v>23</v>
      </c>
      <c r="C69" t="s">
        <v>838</v>
      </c>
      <c r="D69">
        <v>39.85</v>
      </c>
      <c r="E69" t="s">
        <v>37</v>
      </c>
      <c r="F69" t="s">
        <v>37</v>
      </c>
      <c r="G69" t="s">
        <v>38</v>
      </c>
    </row>
    <row r="70" spans="1:7" x14ac:dyDescent="0.45">
      <c r="A70" t="s">
        <v>15</v>
      </c>
      <c r="B70">
        <v>23</v>
      </c>
      <c r="C70" t="s">
        <v>839</v>
      </c>
      <c r="D70" t="s">
        <v>9</v>
      </c>
      <c r="E70" t="s">
        <v>37</v>
      </c>
      <c r="F70" t="s">
        <v>37</v>
      </c>
      <c r="G70" t="s">
        <v>38</v>
      </c>
    </row>
    <row r="71" spans="1:7" x14ac:dyDescent="0.45">
      <c r="A71" t="s">
        <v>15</v>
      </c>
      <c r="B71">
        <v>24</v>
      </c>
      <c r="C71" t="s">
        <v>840</v>
      </c>
      <c r="D71">
        <v>39.82</v>
      </c>
      <c r="E71" t="s">
        <v>37</v>
      </c>
      <c r="F71" t="s">
        <v>37</v>
      </c>
      <c r="G71" t="s">
        <v>38</v>
      </c>
    </row>
    <row r="72" spans="1:7" x14ac:dyDescent="0.45">
      <c r="A72" t="s">
        <v>15</v>
      </c>
      <c r="B72">
        <v>24</v>
      </c>
      <c r="C72" t="s">
        <v>841</v>
      </c>
      <c r="D72">
        <v>39.340000000000003</v>
      </c>
      <c r="E72" t="s">
        <v>37</v>
      </c>
      <c r="F72" t="s">
        <v>37</v>
      </c>
      <c r="G72" t="s">
        <v>38</v>
      </c>
    </row>
    <row r="73" spans="1:7" x14ac:dyDescent="0.45">
      <c r="A73" t="s">
        <v>15</v>
      </c>
      <c r="B73">
        <v>24</v>
      </c>
      <c r="C73" t="s">
        <v>842</v>
      </c>
      <c r="D73" t="s">
        <v>9</v>
      </c>
      <c r="E73" t="s">
        <v>37</v>
      </c>
      <c r="F73" t="s">
        <v>37</v>
      </c>
      <c r="G73" t="s">
        <v>38</v>
      </c>
    </row>
    <row r="74" spans="1:7" x14ac:dyDescent="0.45">
      <c r="A74" t="s">
        <v>15</v>
      </c>
      <c r="B74">
        <v>25</v>
      </c>
      <c r="C74" t="s">
        <v>843</v>
      </c>
      <c r="D74" t="s">
        <v>9</v>
      </c>
      <c r="E74" t="s">
        <v>37</v>
      </c>
      <c r="F74" t="s">
        <v>37</v>
      </c>
      <c r="G74" t="s">
        <v>38</v>
      </c>
    </row>
    <row r="75" spans="1:7" x14ac:dyDescent="0.45">
      <c r="A75" t="s">
        <v>15</v>
      </c>
      <c r="B75">
        <v>25</v>
      </c>
      <c r="C75" t="s">
        <v>844</v>
      </c>
      <c r="D75" t="s">
        <v>9</v>
      </c>
      <c r="E75" t="s">
        <v>37</v>
      </c>
      <c r="F75" t="s">
        <v>37</v>
      </c>
      <c r="G75" t="s">
        <v>38</v>
      </c>
    </row>
    <row r="76" spans="1:7" x14ac:dyDescent="0.45">
      <c r="A76" t="s">
        <v>15</v>
      </c>
      <c r="B76">
        <v>25</v>
      </c>
      <c r="C76" t="s">
        <v>845</v>
      </c>
      <c r="D76" t="s">
        <v>9</v>
      </c>
      <c r="E76" t="s">
        <v>37</v>
      </c>
      <c r="F76" t="s">
        <v>37</v>
      </c>
      <c r="G76" t="s">
        <v>38</v>
      </c>
    </row>
    <row r="77" spans="1:7" x14ac:dyDescent="0.45">
      <c r="A77" t="s">
        <v>15</v>
      </c>
      <c r="B77">
        <v>26</v>
      </c>
      <c r="C77" t="s">
        <v>846</v>
      </c>
      <c r="D77" t="s">
        <v>9</v>
      </c>
      <c r="E77" t="s">
        <v>37</v>
      </c>
      <c r="F77" t="s">
        <v>37</v>
      </c>
      <c r="G77" t="s">
        <v>38</v>
      </c>
    </row>
    <row r="78" spans="1:7" x14ac:dyDescent="0.45">
      <c r="A78" t="s">
        <v>15</v>
      </c>
      <c r="B78">
        <v>26</v>
      </c>
      <c r="C78" t="s">
        <v>847</v>
      </c>
      <c r="D78" t="s">
        <v>9</v>
      </c>
      <c r="E78" t="s">
        <v>37</v>
      </c>
      <c r="F78" t="s">
        <v>37</v>
      </c>
      <c r="G78" t="s">
        <v>38</v>
      </c>
    </row>
    <row r="79" spans="1:7" x14ac:dyDescent="0.45">
      <c r="A79" t="s">
        <v>15</v>
      </c>
      <c r="B79">
        <v>26</v>
      </c>
      <c r="C79" t="s">
        <v>848</v>
      </c>
      <c r="D79" t="s">
        <v>9</v>
      </c>
      <c r="E79" t="s">
        <v>37</v>
      </c>
      <c r="F79" t="s">
        <v>37</v>
      </c>
      <c r="G79" t="s">
        <v>38</v>
      </c>
    </row>
    <row r="80" spans="1:7" x14ac:dyDescent="0.45">
      <c r="A80" t="s">
        <v>15</v>
      </c>
      <c r="B80">
        <v>27</v>
      </c>
      <c r="C80" t="s">
        <v>849</v>
      </c>
      <c r="D80">
        <v>38.700000000000003</v>
      </c>
      <c r="E80" t="s">
        <v>37</v>
      </c>
      <c r="F80" t="s">
        <v>37</v>
      </c>
      <c r="G80" t="s">
        <v>38</v>
      </c>
    </row>
    <row r="81" spans="1:7" x14ac:dyDescent="0.45">
      <c r="A81" t="s">
        <v>15</v>
      </c>
      <c r="B81">
        <v>27</v>
      </c>
      <c r="C81" t="s">
        <v>850</v>
      </c>
      <c r="D81">
        <v>38</v>
      </c>
      <c r="E81" t="s">
        <v>37</v>
      </c>
      <c r="F81" t="s">
        <v>37</v>
      </c>
      <c r="G81" t="s">
        <v>38</v>
      </c>
    </row>
    <row r="82" spans="1:7" x14ac:dyDescent="0.45">
      <c r="A82" t="s">
        <v>15</v>
      </c>
      <c r="B82">
        <v>27</v>
      </c>
      <c r="C82" t="s">
        <v>851</v>
      </c>
      <c r="D82" t="s">
        <v>9</v>
      </c>
      <c r="E82" t="s">
        <v>37</v>
      </c>
      <c r="F82" t="s">
        <v>37</v>
      </c>
      <c r="G82" t="s">
        <v>38</v>
      </c>
    </row>
    <row r="83" spans="1:7" x14ac:dyDescent="0.45">
      <c r="A83" t="s">
        <v>15</v>
      </c>
      <c r="B83">
        <v>28</v>
      </c>
      <c r="C83" t="s">
        <v>852</v>
      </c>
      <c r="D83">
        <v>31.3</v>
      </c>
      <c r="E83" t="s">
        <v>37</v>
      </c>
      <c r="F83" t="s">
        <v>37</v>
      </c>
      <c r="G83" t="s">
        <v>38</v>
      </c>
    </row>
    <row r="84" spans="1:7" x14ac:dyDescent="0.45">
      <c r="A84" t="s">
        <v>15</v>
      </c>
      <c r="B84">
        <v>28</v>
      </c>
      <c r="C84" t="s">
        <v>853</v>
      </c>
      <c r="D84" t="s">
        <v>9</v>
      </c>
      <c r="E84" t="s">
        <v>37</v>
      </c>
      <c r="F84" t="s">
        <v>37</v>
      </c>
      <c r="G84" t="s">
        <v>38</v>
      </c>
    </row>
    <row r="85" spans="1:7" x14ac:dyDescent="0.45">
      <c r="A85" t="s">
        <v>15</v>
      </c>
      <c r="B85">
        <v>28</v>
      </c>
      <c r="C85" t="s">
        <v>854</v>
      </c>
      <c r="D85" t="s">
        <v>9</v>
      </c>
      <c r="E85" t="s">
        <v>37</v>
      </c>
      <c r="F85" t="s">
        <v>37</v>
      </c>
      <c r="G85" t="s">
        <v>38</v>
      </c>
    </row>
    <row r="86" spans="1:7" x14ac:dyDescent="0.45">
      <c r="A86" t="s">
        <v>15</v>
      </c>
      <c r="B86">
        <v>29</v>
      </c>
      <c r="C86" t="s">
        <v>855</v>
      </c>
      <c r="D86">
        <v>38.28</v>
      </c>
      <c r="E86" t="s">
        <v>37</v>
      </c>
      <c r="F86" t="s">
        <v>37</v>
      </c>
      <c r="G86" t="s">
        <v>38</v>
      </c>
    </row>
    <row r="87" spans="1:7" x14ac:dyDescent="0.45">
      <c r="A87" t="s">
        <v>15</v>
      </c>
      <c r="B87">
        <v>29</v>
      </c>
      <c r="C87" t="s">
        <v>856</v>
      </c>
      <c r="D87">
        <v>38.950000000000003</v>
      </c>
      <c r="E87" t="s">
        <v>37</v>
      </c>
      <c r="F87" t="s">
        <v>37</v>
      </c>
      <c r="G87" t="s">
        <v>38</v>
      </c>
    </row>
    <row r="88" spans="1:7" x14ac:dyDescent="0.45">
      <c r="A88" t="s">
        <v>15</v>
      </c>
      <c r="B88">
        <v>29</v>
      </c>
      <c r="C88" t="s">
        <v>857</v>
      </c>
      <c r="D88" t="s">
        <v>9</v>
      </c>
      <c r="E88" t="s">
        <v>37</v>
      </c>
      <c r="F88" t="s">
        <v>37</v>
      </c>
      <c r="G88" t="s">
        <v>38</v>
      </c>
    </row>
    <row r="89" spans="1:7" x14ac:dyDescent="0.45">
      <c r="A89" t="s">
        <v>7</v>
      </c>
      <c r="B89" t="s">
        <v>156</v>
      </c>
      <c r="C89" t="s">
        <v>7</v>
      </c>
      <c r="D89" t="s">
        <v>9</v>
      </c>
      <c r="E89" t="s">
        <v>37</v>
      </c>
      <c r="F89" t="s">
        <v>37</v>
      </c>
      <c r="G89" t="s">
        <v>38</v>
      </c>
    </row>
    <row r="90" spans="1:7" x14ac:dyDescent="0.45">
      <c r="A90" t="s">
        <v>7</v>
      </c>
      <c r="B90" t="s">
        <v>156</v>
      </c>
      <c r="C90" t="s">
        <v>7</v>
      </c>
      <c r="D90" t="s">
        <v>9</v>
      </c>
      <c r="E90" t="s">
        <v>37</v>
      </c>
      <c r="F90" t="s">
        <v>37</v>
      </c>
      <c r="G90" t="s">
        <v>38</v>
      </c>
    </row>
    <row r="91" spans="1:7" x14ac:dyDescent="0.45">
      <c r="A91" t="s">
        <v>7</v>
      </c>
      <c r="B91" t="s">
        <v>156</v>
      </c>
      <c r="C91" t="s">
        <v>7</v>
      </c>
      <c r="D91" t="s">
        <v>9</v>
      </c>
      <c r="E91" t="s">
        <v>37</v>
      </c>
      <c r="F91" t="s">
        <v>37</v>
      </c>
      <c r="G91" t="s">
        <v>38</v>
      </c>
    </row>
    <row r="92" spans="1:7" x14ac:dyDescent="0.45">
      <c r="A92" t="s">
        <v>11</v>
      </c>
      <c r="B92" t="s">
        <v>859</v>
      </c>
      <c r="C92" t="s">
        <v>322</v>
      </c>
      <c r="D92">
        <v>27.5</v>
      </c>
      <c r="E92" t="s">
        <v>37</v>
      </c>
      <c r="F92" t="s">
        <v>37</v>
      </c>
      <c r="G92" t="s">
        <v>38</v>
      </c>
    </row>
    <row r="93" spans="1:7" x14ac:dyDescent="0.45">
      <c r="A93" t="s">
        <v>11</v>
      </c>
      <c r="B93" t="s">
        <v>859</v>
      </c>
      <c r="C93" t="s">
        <v>322</v>
      </c>
      <c r="D93">
        <v>27.38</v>
      </c>
      <c r="E93" t="s">
        <v>37</v>
      </c>
      <c r="F93" t="s">
        <v>37</v>
      </c>
      <c r="G93" t="s">
        <v>38</v>
      </c>
    </row>
    <row r="94" spans="1:7" x14ac:dyDescent="0.45">
      <c r="A94" t="s">
        <v>11</v>
      </c>
      <c r="B94" t="s">
        <v>859</v>
      </c>
      <c r="C94" t="s">
        <v>322</v>
      </c>
      <c r="D94">
        <v>28.73</v>
      </c>
      <c r="E94" t="s">
        <v>37</v>
      </c>
      <c r="F94" t="s">
        <v>37</v>
      </c>
      <c r="G94" t="s">
        <v>38</v>
      </c>
    </row>
    <row r="95" spans="1:7" x14ac:dyDescent="0.45">
      <c r="A95" t="s">
        <v>11</v>
      </c>
      <c r="B95" t="s">
        <v>1236</v>
      </c>
      <c r="C95" t="s">
        <v>1237</v>
      </c>
      <c r="D95">
        <v>8.99</v>
      </c>
      <c r="E95" t="s">
        <v>37</v>
      </c>
      <c r="F95" t="s">
        <v>37</v>
      </c>
      <c r="G95" t="s">
        <v>38</v>
      </c>
    </row>
    <row r="96" spans="1:7" x14ac:dyDescent="0.45">
      <c r="A96" t="s">
        <v>11</v>
      </c>
      <c r="B96" t="s">
        <v>1236</v>
      </c>
      <c r="C96" t="s">
        <v>1237</v>
      </c>
      <c r="D96">
        <v>9.07</v>
      </c>
      <c r="E96" t="s">
        <v>37</v>
      </c>
      <c r="F96" t="s">
        <v>37</v>
      </c>
      <c r="G96" t="s">
        <v>38</v>
      </c>
    </row>
    <row r="97" spans="1:7" x14ac:dyDescent="0.45">
      <c r="A97" t="s">
        <v>11</v>
      </c>
      <c r="B97" t="s">
        <v>1236</v>
      </c>
      <c r="C97" t="s">
        <v>1237</v>
      </c>
      <c r="D97">
        <v>9.3800000000000008</v>
      </c>
      <c r="E97" t="s">
        <v>37</v>
      </c>
      <c r="F97" t="s">
        <v>37</v>
      </c>
      <c r="G97" t="s">
        <v>38</v>
      </c>
    </row>
  </sheetData>
  <sortState xmlns:xlrd2="http://schemas.microsoft.com/office/spreadsheetml/2017/richdata2" ref="A2:H97">
    <sortCondition ref="B2:B97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C137D-4015-4C3C-90AB-6F9B1936037C}">
  <dimension ref="A1:F8"/>
  <sheetViews>
    <sheetView workbookViewId="0">
      <selection sqref="A1:E8"/>
    </sheetView>
  </sheetViews>
  <sheetFormatPr defaultRowHeight="14.25" x14ac:dyDescent="0.45"/>
  <cols>
    <col min="1" max="1" width="11.53125" customWidth="1"/>
    <col min="2" max="2" width="14.06640625" customWidth="1"/>
    <col min="3" max="3" width="15.59765625" customWidth="1"/>
    <col min="4" max="4" width="13" customWidth="1"/>
    <col min="5" max="5" width="19.06640625" customWidth="1"/>
  </cols>
  <sheetData>
    <row r="1" spans="1:6" x14ac:dyDescent="0.45">
      <c r="A1" s="24" t="s">
        <v>1385</v>
      </c>
    </row>
    <row r="2" spans="1:6" ht="15.75" x14ac:dyDescent="0.45">
      <c r="A2" s="25" t="s">
        <v>1386</v>
      </c>
      <c r="B2" s="25" t="s">
        <v>1387</v>
      </c>
      <c r="C2" s="25" t="s">
        <v>1388</v>
      </c>
      <c r="D2" s="25" t="s">
        <v>1395</v>
      </c>
      <c r="E2" s="25" t="s">
        <v>1394</v>
      </c>
    </row>
    <row r="3" spans="1:6" x14ac:dyDescent="0.45">
      <c r="A3" s="1">
        <v>1</v>
      </c>
      <c r="B3" s="1" t="s">
        <v>1389</v>
      </c>
      <c r="C3" s="1">
        <v>-3.556</v>
      </c>
      <c r="D3" s="1">
        <v>1</v>
      </c>
      <c r="E3" s="23">
        <v>90.8</v>
      </c>
    </row>
    <row r="4" spans="1:6" x14ac:dyDescent="0.45">
      <c r="A4" s="1">
        <v>2</v>
      </c>
      <c r="B4" s="1" t="s">
        <v>1390</v>
      </c>
      <c r="C4" s="1">
        <v>-3.4630000000000001</v>
      </c>
      <c r="D4" s="1">
        <v>1</v>
      </c>
      <c r="E4" s="23">
        <v>94.1</v>
      </c>
    </row>
    <row r="5" spans="1:6" x14ac:dyDescent="0.45">
      <c r="A5" s="1">
        <v>3</v>
      </c>
      <c r="B5" s="1" t="s">
        <v>1391</v>
      </c>
      <c r="C5" s="1">
        <v>-3.8380000000000001</v>
      </c>
      <c r="D5" s="1">
        <v>1</v>
      </c>
      <c r="E5" s="23">
        <v>82.2</v>
      </c>
    </row>
    <row r="6" spans="1:6" x14ac:dyDescent="0.45">
      <c r="A6" s="1">
        <v>4</v>
      </c>
      <c r="B6" s="1" t="s">
        <v>1392</v>
      </c>
      <c r="C6" s="1">
        <v>-3.645</v>
      </c>
      <c r="D6" s="1">
        <v>1</v>
      </c>
      <c r="E6" s="23">
        <v>87.3</v>
      </c>
      <c r="F6" s="22"/>
    </row>
    <row r="7" spans="1:6" x14ac:dyDescent="0.45">
      <c r="A7" s="1">
        <v>5</v>
      </c>
      <c r="B7" s="1" t="s">
        <v>1393</v>
      </c>
      <c r="C7" s="1">
        <v>-3.7330000000000001</v>
      </c>
      <c r="D7" s="1">
        <v>1</v>
      </c>
      <c r="E7" s="23">
        <v>84.9</v>
      </c>
    </row>
    <row r="8" spans="1:6" x14ac:dyDescent="0.45">
      <c r="A8" s="1">
        <v>6</v>
      </c>
      <c r="B8" s="1" t="s">
        <v>1389</v>
      </c>
      <c r="C8" s="1">
        <v>-3.7440000000000002</v>
      </c>
      <c r="D8" s="1">
        <v>1</v>
      </c>
      <c r="E8" s="23">
        <v>84.6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83438-4434-4CC2-BA7C-83E75622CC2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AD5E-B4B5-4EA0-8C2F-96010CBD4037}">
  <dimension ref="A1:H97"/>
  <sheetViews>
    <sheetView topLeftCell="A79" zoomScale="130" zoomScaleNormal="130" workbookViewId="0">
      <selection activeCell="A86" sqref="A86"/>
    </sheetView>
  </sheetViews>
  <sheetFormatPr defaultRowHeight="14.25" x14ac:dyDescent="0.45"/>
  <sheetData>
    <row r="1" spans="1:8" x14ac:dyDescent="0.45">
      <c r="A1" t="s">
        <v>1225</v>
      </c>
      <c r="B1" t="s">
        <v>1226</v>
      </c>
      <c r="C1" t="s">
        <v>756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</row>
    <row r="2" spans="1:8" x14ac:dyDescent="0.45">
      <c r="A2" t="s">
        <v>15</v>
      </c>
      <c r="B2">
        <v>1</v>
      </c>
      <c r="C2" t="s">
        <v>868</v>
      </c>
      <c r="D2">
        <v>38.56</v>
      </c>
      <c r="E2" t="s">
        <v>37</v>
      </c>
      <c r="F2" t="s">
        <v>37</v>
      </c>
      <c r="G2" t="s">
        <v>37</v>
      </c>
      <c r="H2" t="s">
        <v>38</v>
      </c>
    </row>
    <row r="3" spans="1:8" x14ac:dyDescent="0.45">
      <c r="A3" t="s">
        <v>15</v>
      </c>
      <c r="B3">
        <v>1</v>
      </c>
      <c r="C3" t="s">
        <v>869</v>
      </c>
      <c r="D3">
        <v>37.07</v>
      </c>
      <c r="E3" t="s">
        <v>37</v>
      </c>
      <c r="F3" t="s">
        <v>37</v>
      </c>
      <c r="G3" t="s">
        <v>37</v>
      </c>
      <c r="H3" t="s">
        <v>38</v>
      </c>
    </row>
    <row r="4" spans="1:8" x14ac:dyDescent="0.45">
      <c r="A4" t="s">
        <v>15</v>
      </c>
      <c r="B4">
        <v>1</v>
      </c>
      <c r="C4" t="s">
        <v>870</v>
      </c>
      <c r="D4">
        <v>36.43</v>
      </c>
      <c r="E4" t="s">
        <v>37</v>
      </c>
      <c r="F4" t="s">
        <v>37</v>
      </c>
      <c r="G4" t="s">
        <v>37</v>
      </c>
      <c r="H4" t="s">
        <v>38</v>
      </c>
    </row>
    <row r="5" spans="1:8" x14ac:dyDescent="0.45">
      <c r="A5" t="s">
        <v>15</v>
      </c>
      <c r="B5">
        <v>2</v>
      </c>
      <c r="C5" t="s">
        <v>871</v>
      </c>
      <c r="D5">
        <v>37.5</v>
      </c>
      <c r="E5" t="s">
        <v>37</v>
      </c>
      <c r="F5" t="s">
        <v>37</v>
      </c>
      <c r="G5" t="s">
        <v>37</v>
      </c>
      <c r="H5" t="s">
        <v>38</v>
      </c>
    </row>
    <row r="6" spans="1:8" x14ac:dyDescent="0.45">
      <c r="A6" t="s">
        <v>15</v>
      </c>
      <c r="B6">
        <v>2</v>
      </c>
      <c r="C6" t="s">
        <v>872</v>
      </c>
      <c r="D6" t="s">
        <v>9</v>
      </c>
      <c r="E6" t="s">
        <v>37</v>
      </c>
      <c r="F6" t="s">
        <v>37</v>
      </c>
      <c r="G6" t="s">
        <v>37</v>
      </c>
      <c r="H6" t="s">
        <v>38</v>
      </c>
    </row>
    <row r="7" spans="1:8" x14ac:dyDescent="0.45">
      <c r="A7" t="s">
        <v>15</v>
      </c>
      <c r="B7">
        <v>2</v>
      </c>
      <c r="C7" t="s">
        <v>873</v>
      </c>
      <c r="D7">
        <v>37.65</v>
      </c>
      <c r="E7" t="s">
        <v>37</v>
      </c>
      <c r="F7" t="s">
        <v>37</v>
      </c>
      <c r="G7" t="s">
        <v>37</v>
      </c>
      <c r="H7" t="s">
        <v>38</v>
      </c>
    </row>
    <row r="8" spans="1:8" x14ac:dyDescent="0.45">
      <c r="A8" t="s">
        <v>15</v>
      </c>
      <c r="B8">
        <v>3</v>
      </c>
      <c r="C8" t="s">
        <v>874</v>
      </c>
      <c r="D8">
        <v>38.44</v>
      </c>
      <c r="E8" t="s">
        <v>37</v>
      </c>
      <c r="F8" t="s">
        <v>37</v>
      </c>
      <c r="G8" t="s">
        <v>37</v>
      </c>
      <c r="H8" t="s">
        <v>38</v>
      </c>
    </row>
    <row r="9" spans="1:8" x14ac:dyDescent="0.45">
      <c r="A9" t="s">
        <v>15</v>
      </c>
      <c r="B9">
        <v>3</v>
      </c>
      <c r="C9" t="s">
        <v>875</v>
      </c>
      <c r="D9" t="s">
        <v>9</v>
      </c>
      <c r="E9" t="s">
        <v>37</v>
      </c>
      <c r="F9" t="s">
        <v>37</v>
      </c>
      <c r="G9" t="s">
        <v>37</v>
      </c>
      <c r="H9" t="s">
        <v>38</v>
      </c>
    </row>
    <row r="10" spans="1:8" x14ac:dyDescent="0.45">
      <c r="A10" t="s">
        <v>15</v>
      </c>
      <c r="B10">
        <v>3</v>
      </c>
      <c r="C10" t="s">
        <v>876</v>
      </c>
      <c r="D10" t="s">
        <v>9</v>
      </c>
      <c r="E10" t="s">
        <v>37</v>
      </c>
      <c r="F10" t="s">
        <v>37</v>
      </c>
      <c r="G10" t="s">
        <v>37</v>
      </c>
      <c r="H10" t="s">
        <v>38</v>
      </c>
    </row>
    <row r="11" spans="1:8" x14ac:dyDescent="0.45">
      <c r="A11" t="s">
        <v>15</v>
      </c>
      <c r="B11">
        <v>4</v>
      </c>
      <c r="C11" t="s">
        <v>877</v>
      </c>
      <c r="D11">
        <v>37.76</v>
      </c>
      <c r="E11" t="s">
        <v>37</v>
      </c>
      <c r="F11" t="s">
        <v>37</v>
      </c>
      <c r="G11" t="s">
        <v>37</v>
      </c>
      <c r="H11" t="s">
        <v>38</v>
      </c>
    </row>
    <row r="12" spans="1:8" x14ac:dyDescent="0.45">
      <c r="A12" t="s">
        <v>15</v>
      </c>
      <c r="B12">
        <v>4</v>
      </c>
      <c r="C12" t="s">
        <v>878</v>
      </c>
      <c r="D12" t="s">
        <v>9</v>
      </c>
      <c r="E12" t="s">
        <v>37</v>
      </c>
      <c r="F12" t="s">
        <v>37</v>
      </c>
      <c r="G12" t="s">
        <v>37</v>
      </c>
      <c r="H12" t="s">
        <v>38</v>
      </c>
    </row>
    <row r="13" spans="1:8" x14ac:dyDescent="0.45">
      <c r="A13" t="s">
        <v>15</v>
      </c>
      <c r="B13">
        <v>4</v>
      </c>
      <c r="C13" t="s">
        <v>879</v>
      </c>
      <c r="D13">
        <v>38.65</v>
      </c>
      <c r="E13" t="s">
        <v>37</v>
      </c>
      <c r="F13" t="s">
        <v>37</v>
      </c>
      <c r="G13" t="s">
        <v>37</v>
      </c>
      <c r="H13" t="s">
        <v>38</v>
      </c>
    </row>
    <row r="14" spans="1:8" x14ac:dyDescent="0.45">
      <c r="A14" t="s">
        <v>15</v>
      </c>
      <c r="B14">
        <v>5</v>
      </c>
      <c r="C14" t="s">
        <v>880</v>
      </c>
      <c r="D14">
        <v>35.869999999999997</v>
      </c>
      <c r="E14" t="s">
        <v>37</v>
      </c>
      <c r="F14" t="s">
        <v>37</v>
      </c>
      <c r="G14" t="s">
        <v>37</v>
      </c>
      <c r="H14" t="s">
        <v>38</v>
      </c>
    </row>
    <row r="15" spans="1:8" x14ac:dyDescent="0.45">
      <c r="A15" t="s">
        <v>15</v>
      </c>
      <c r="B15">
        <v>5</v>
      </c>
      <c r="C15" t="s">
        <v>881</v>
      </c>
      <c r="D15">
        <v>36.28</v>
      </c>
      <c r="E15" t="s">
        <v>37</v>
      </c>
      <c r="F15" t="s">
        <v>37</v>
      </c>
      <c r="G15" t="s">
        <v>37</v>
      </c>
      <c r="H15" t="s">
        <v>38</v>
      </c>
    </row>
    <row r="16" spans="1:8" x14ac:dyDescent="0.45">
      <c r="A16" t="s">
        <v>15</v>
      </c>
      <c r="B16">
        <v>5</v>
      </c>
      <c r="C16" t="s">
        <v>882</v>
      </c>
      <c r="D16">
        <v>38.08</v>
      </c>
      <c r="E16" t="s">
        <v>37</v>
      </c>
      <c r="F16" t="s">
        <v>37</v>
      </c>
      <c r="G16" t="s">
        <v>37</v>
      </c>
      <c r="H16" t="s">
        <v>38</v>
      </c>
    </row>
    <row r="17" spans="1:8" x14ac:dyDescent="0.45">
      <c r="A17" t="s">
        <v>15</v>
      </c>
      <c r="B17">
        <v>6</v>
      </c>
      <c r="C17" t="s">
        <v>883</v>
      </c>
      <c r="D17">
        <v>37.049999999999997</v>
      </c>
      <c r="E17" t="s">
        <v>37</v>
      </c>
      <c r="F17" t="s">
        <v>37</v>
      </c>
      <c r="G17" t="s">
        <v>37</v>
      </c>
      <c r="H17" t="s">
        <v>38</v>
      </c>
    </row>
    <row r="18" spans="1:8" x14ac:dyDescent="0.45">
      <c r="A18" t="s">
        <v>15</v>
      </c>
      <c r="B18">
        <v>6</v>
      </c>
      <c r="C18" t="s">
        <v>884</v>
      </c>
      <c r="D18">
        <v>37.159999999999997</v>
      </c>
      <c r="E18" t="s">
        <v>37</v>
      </c>
      <c r="F18" t="s">
        <v>37</v>
      </c>
      <c r="G18" t="s">
        <v>37</v>
      </c>
      <c r="H18" t="s">
        <v>38</v>
      </c>
    </row>
    <row r="19" spans="1:8" x14ac:dyDescent="0.45">
      <c r="A19" t="s">
        <v>15</v>
      </c>
      <c r="B19">
        <v>6</v>
      </c>
      <c r="C19" t="s">
        <v>885</v>
      </c>
      <c r="D19">
        <v>38.03</v>
      </c>
      <c r="E19" t="s">
        <v>37</v>
      </c>
      <c r="F19" t="s">
        <v>37</v>
      </c>
      <c r="G19" t="s">
        <v>37</v>
      </c>
      <c r="H19" t="s">
        <v>38</v>
      </c>
    </row>
    <row r="20" spans="1:8" x14ac:dyDescent="0.45">
      <c r="A20" t="s">
        <v>15</v>
      </c>
      <c r="B20">
        <v>7</v>
      </c>
      <c r="C20" t="s">
        <v>886</v>
      </c>
      <c r="D20" t="s">
        <v>9</v>
      </c>
      <c r="E20" t="s">
        <v>37</v>
      </c>
      <c r="F20" t="s">
        <v>37</v>
      </c>
      <c r="G20" t="s">
        <v>37</v>
      </c>
      <c r="H20" t="s">
        <v>38</v>
      </c>
    </row>
    <row r="21" spans="1:8" x14ac:dyDescent="0.45">
      <c r="A21" t="s">
        <v>15</v>
      </c>
      <c r="B21">
        <v>7</v>
      </c>
      <c r="C21" t="s">
        <v>887</v>
      </c>
      <c r="D21" t="s">
        <v>9</v>
      </c>
      <c r="E21" t="s">
        <v>37</v>
      </c>
      <c r="F21" t="s">
        <v>37</v>
      </c>
      <c r="G21" t="s">
        <v>37</v>
      </c>
      <c r="H21" t="s">
        <v>38</v>
      </c>
    </row>
    <row r="22" spans="1:8" x14ac:dyDescent="0.45">
      <c r="A22" t="s">
        <v>15</v>
      </c>
      <c r="B22">
        <v>7</v>
      </c>
      <c r="C22" t="s">
        <v>888</v>
      </c>
      <c r="D22">
        <v>36.299999999999997</v>
      </c>
      <c r="E22" t="s">
        <v>37</v>
      </c>
      <c r="F22" t="s">
        <v>37</v>
      </c>
      <c r="G22" t="s">
        <v>37</v>
      </c>
      <c r="H22" t="s">
        <v>38</v>
      </c>
    </row>
    <row r="23" spans="1:8" x14ac:dyDescent="0.45">
      <c r="A23" t="s">
        <v>15</v>
      </c>
      <c r="B23">
        <v>8</v>
      </c>
      <c r="C23" t="s">
        <v>889</v>
      </c>
      <c r="D23" t="s">
        <v>9</v>
      </c>
      <c r="E23" t="s">
        <v>37</v>
      </c>
      <c r="F23" t="s">
        <v>37</v>
      </c>
      <c r="G23" t="s">
        <v>37</v>
      </c>
      <c r="H23" t="s">
        <v>38</v>
      </c>
    </row>
    <row r="24" spans="1:8" x14ac:dyDescent="0.45">
      <c r="A24" t="s">
        <v>15</v>
      </c>
      <c r="B24">
        <v>8</v>
      </c>
      <c r="C24" t="s">
        <v>890</v>
      </c>
      <c r="D24">
        <v>39.83</v>
      </c>
      <c r="E24" t="s">
        <v>37</v>
      </c>
      <c r="F24" t="s">
        <v>37</v>
      </c>
      <c r="G24" t="s">
        <v>37</v>
      </c>
      <c r="H24" t="s">
        <v>38</v>
      </c>
    </row>
    <row r="25" spans="1:8" x14ac:dyDescent="0.45">
      <c r="A25" t="s">
        <v>15</v>
      </c>
      <c r="B25">
        <v>8</v>
      </c>
      <c r="C25" t="s">
        <v>891</v>
      </c>
      <c r="D25" t="s">
        <v>9</v>
      </c>
      <c r="E25" t="s">
        <v>37</v>
      </c>
      <c r="F25" t="s">
        <v>37</v>
      </c>
      <c r="G25" t="s">
        <v>37</v>
      </c>
      <c r="H25" t="s">
        <v>38</v>
      </c>
    </row>
    <row r="26" spans="1:8" x14ac:dyDescent="0.45">
      <c r="A26" t="s">
        <v>15</v>
      </c>
      <c r="B26">
        <v>9</v>
      </c>
      <c r="C26" t="s">
        <v>892</v>
      </c>
      <c r="D26">
        <v>38.770000000000003</v>
      </c>
      <c r="E26" t="s">
        <v>37</v>
      </c>
      <c r="F26" t="s">
        <v>37</v>
      </c>
      <c r="G26" t="s">
        <v>37</v>
      </c>
      <c r="H26" t="s">
        <v>38</v>
      </c>
    </row>
    <row r="27" spans="1:8" x14ac:dyDescent="0.45">
      <c r="A27" t="s">
        <v>15</v>
      </c>
      <c r="B27">
        <v>9</v>
      </c>
      <c r="C27" t="s">
        <v>893</v>
      </c>
      <c r="D27">
        <v>38.229999999999997</v>
      </c>
      <c r="E27" t="s">
        <v>37</v>
      </c>
      <c r="F27" t="s">
        <v>37</v>
      </c>
      <c r="G27" t="s">
        <v>37</v>
      </c>
      <c r="H27" t="s">
        <v>38</v>
      </c>
    </row>
    <row r="28" spans="1:8" x14ac:dyDescent="0.45">
      <c r="A28" t="s">
        <v>15</v>
      </c>
      <c r="B28">
        <v>9</v>
      </c>
      <c r="C28" t="s">
        <v>894</v>
      </c>
      <c r="D28">
        <v>37.4</v>
      </c>
      <c r="E28" t="s">
        <v>37</v>
      </c>
      <c r="F28" t="s">
        <v>37</v>
      </c>
      <c r="G28" t="s">
        <v>37</v>
      </c>
      <c r="H28" t="s">
        <v>38</v>
      </c>
    </row>
    <row r="29" spans="1:8" x14ac:dyDescent="0.45">
      <c r="A29" t="s">
        <v>15</v>
      </c>
      <c r="B29">
        <v>10</v>
      </c>
      <c r="C29" t="s">
        <v>895</v>
      </c>
      <c r="D29" t="s">
        <v>9</v>
      </c>
      <c r="E29" t="s">
        <v>37</v>
      </c>
      <c r="F29" t="s">
        <v>37</v>
      </c>
      <c r="G29" t="s">
        <v>37</v>
      </c>
      <c r="H29" t="s">
        <v>38</v>
      </c>
    </row>
    <row r="30" spans="1:8" x14ac:dyDescent="0.45">
      <c r="A30" t="s">
        <v>15</v>
      </c>
      <c r="B30">
        <v>10</v>
      </c>
      <c r="C30" t="s">
        <v>896</v>
      </c>
      <c r="D30" t="s">
        <v>9</v>
      </c>
      <c r="E30" t="s">
        <v>37</v>
      </c>
      <c r="F30" t="s">
        <v>37</v>
      </c>
      <c r="G30" t="s">
        <v>37</v>
      </c>
      <c r="H30" t="s">
        <v>38</v>
      </c>
    </row>
    <row r="31" spans="1:8" x14ac:dyDescent="0.45">
      <c r="A31" t="s">
        <v>15</v>
      </c>
      <c r="B31">
        <v>10</v>
      </c>
      <c r="C31" t="s">
        <v>897</v>
      </c>
      <c r="D31" t="s">
        <v>9</v>
      </c>
      <c r="E31" t="s">
        <v>37</v>
      </c>
      <c r="F31" t="s">
        <v>37</v>
      </c>
      <c r="G31" t="s">
        <v>37</v>
      </c>
      <c r="H31" t="s">
        <v>38</v>
      </c>
    </row>
    <row r="32" spans="1:8" x14ac:dyDescent="0.45">
      <c r="A32" t="s">
        <v>15</v>
      </c>
      <c r="B32">
        <v>11</v>
      </c>
      <c r="C32" t="s">
        <v>898</v>
      </c>
      <c r="D32">
        <v>38.44</v>
      </c>
      <c r="E32" t="s">
        <v>37</v>
      </c>
      <c r="F32" t="s">
        <v>37</v>
      </c>
      <c r="G32" t="s">
        <v>37</v>
      </c>
      <c r="H32" t="s">
        <v>38</v>
      </c>
    </row>
    <row r="33" spans="1:8" x14ac:dyDescent="0.45">
      <c r="A33" t="s">
        <v>15</v>
      </c>
      <c r="B33">
        <v>11</v>
      </c>
      <c r="C33" t="s">
        <v>899</v>
      </c>
      <c r="D33" t="s">
        <v>9</v>
      </c>
      <c r="E33" t="s">
        <v>37</v>
      </c>
      <c r="F33" t="s">
        <v>37</v>
      </c>
      <c r="G33" t="s">
        <v>37</v>
      </c>
      <c r="H33" t="s">
        <v>38</v>
      </c>
    </row>
    <row r="34" spans="1:8" x14ac:dyDescent="0.45">
      <c r="A34" t="s">
        <v>15</v>
      </c>
      <c r="B34">
        <v>11</v>
      </c>
      <c r="C34" t="s">
        <v>900</v>
      </c>
      <c r="D34" t="s">
        <v>9</v>
      </c>
      <c r="E34" t="s">
        <v>37</v>
      </c>
      <c r="F34" t="s">
        <v>37</v>
      </c>
      <c r="G34" t="s">
        <v>37</v>
      </c>
      <c r="H34" t="s">
        <v>38</v>
      </c>
    </row>
    <row r="35" spans="1:8" x14ac:dyDescent="0.45">
      <c r="A35" t="s">
        <v>15</v>
      </c>
      <c r="B35">
        <v>12</v>
      </c>
      <c r="C35" t="s">
        <v>901</v>
      </c>
      <c r="D35">
        <v>31.86</v>
      </c>
      <c r="E35" t="s">
        <v>37</v>
      </c>
      <c r="F35" t="s">
        <v>37</v>
      </c>
      <c r="G35" t="s">
        <v>37</v>
      </c>
      <c r="H35" t="s">
        <v>38</v>
      </c>
    </row>
    <row r="36" spans="1:8" x14ac:dyDescent="0.45">
      <c r="A36" t="s">
        <v>15</v>
      </c>
      <c r="B36">
        <v>12</v>
      </c>
      <c r="C36" t="s">
        <v>902</v>
      </c>
      <c r="D36">
        <v>32.22</v>
      </c>
      <c r="E36" t="s">
        <v>37</v>
      </c>
      <c r="F36" t="s">
        <v>37</v>
      </c>
      <c r="G36" t="s">
        <v>37</v>
      </c>
      <c r="H36" t="s">
        <v>38</v>
      </c>
    </row>
    <row r="37" spans="1:8" x14ac:dyDescent="0.45">
      <c r="A37" t="s">
        <v>15</v>
      </c>
      <c r="B37">
        <v>12</v>
      </c>
      <c r="C37" t="s">
        <v>903</v>
      </c>
      <c r="D37">
        <v>31.12</v>
      </c>
      <c r="E37" t="s">
        <v>37</v>
      </c>
      <c r="F37" t="s">
        <v>37</v>
      </c>
      <c r="G37" t="s">
        <v>37</v>
      </c>
      <c r="H37" t="s">
        <v>38</v>
      </c>
    </row>
    <row r="38" spans="1:8" x14ac:dyDescent="0.45">
      <c r="A38" t="s">
        <v>15</v>
      </c>
      <c r="B38">
        <v>13</v>
      </c>
      <c r="C38" t="s">
        <v>904</v>
      </c>
      <c r="D38">
        <v>37.03</v>
      </c>
      <c r="E38" t="s">
        <v>37</v>
      </c>
      <c r="F38" t="s">
        <v>37</v>
      </c>
      <c r="G38" t="s">
        <v>37</v>
      </c>
      <c r="H38" t="s">
        <v>38</v>
      </c>
    </row>
    <row r="39" spans="1:8" x14ac:dyDescent="0.45">
      <c r="A39" t="s">
        <v>15</v>
      </c>
      <c r="B39">
        <v>13</v>
      </c>
      <c r="C39" t="s">
        <v>905</v>
      </c>
      <c r="D39">
        <v>38.369999999999997</v>
      </c>
      <c r="E39" t="s">
        <v>37</v>
      </c>
      <c r="F39" t="s">
        <v>37</v>
      </c>
      <c r="G39" t="s">
        <v>37</v>
      </c>
      <c r="H39" t="s">
        <v>38</v>
      </c>
    </row>
    <row r="40" spans="1:8" x14ac:dyDescent="0.45">
      <c r="A40" t="s">
        <v>15</v>
      </c>
      <c r="B40">
        <v>13</v>
      </c>
      <c r="C40" t="s">
        <v>906</v>
      </c>
      <c r="D40">
        <v>37.08</v>
      </c>
      <c r="E40" t="s">
        <v>37</v>
      </c>
      <c r="F40" t="s">
        <v>37</v>
      </c>
      <c r="G40" t="s">
        <v>37</v>
      </c>
      <c r="H40" t="s">
        <v>38</v>
      </c>
    </row>
    <row r="41" spans="1:8" x14ac:dyDescent="0.45">
      <c r="A41" t="s">
        <v>15</v>
      </c>
      <c r="B41">
        <v>14</v>
      </c>
      <c r="C41" t="s">
        <v>907</v>
      </c>
      <c r="D41" t="s">
        <v>9</v>
      </c>
      <c r="E41" t="s">
        <v>37</v>
      </c>
      <c r="F41" t="s">
        <v>37</v>
      </c>
      <c r="G41" t="s">
        <v>37</v>
      </c>
      <c r="H41" t="s">
        <v>38</v>
      </c>
    </row>
    <row r="42" spans="1:8" x14ac:dyDescent="0.45">
      <c r="A42" t="s">
        <v>15</v>
      </c>
      <c r="B42">
        <v>14</v>
      </c>
      <c r="C42" t="s">
        <v>908</v>
      </c>
      <c r="D42" t="s">
        <v>9</v>
      </c>
      <c r="E42" t="s">
        <v>37</v>
      </c>
      <c r="F42" t="s">
        <v>37</v>
      </c>
      <c r="G42" t="s">
        <v>37</v>
      </c>
      <c r="H42" t="s">
        <v>38</v>
      </c>
    </row>
    <row r="43" spans="1:8" x14ac:dyDescent="0.45">
      <c r="A43" t="s">
        <v>15</v>
      </c>
      <c r="B43">
        <v>14</v>
      </c>
      <c r="C43" t="s">
        <v>909</v>
      </c>
      <c r="D43" t="s">
        <v>9</v>
      </c>
      <c r="E43" t="s">
        <v>37</v>
      </c>
      <c r="F43" t="s">
        <v>37</v>
      </c>
      <c r="G43" t="s">
        <v>37</v>
      </c>
      <c r="H43" t="s">
        <v>38</v>
      </c>
    </row>
    <row r="44" spans="1:8" x14ac:dyDescent="0.45">
      <c r="A44" t="s">
        <v>15</v>
      </c>
      <c r="B44">
        <v>15</v>
      </c>
      <c r="C44" t="s">
        <v>910</v>
      </c>
      <c r="D44">
        <v>38.17</v>
      </c>
      <c r="E44" t="s">
        <v>37</v>
      </c>
      <c r="F44" t="s">
        <v>37</v>
      </c>
      <c r="G44" t="s">
        <v>37</v>
      </c>
      <c r="H44" t="s">
        <v>38</v>
      </c>
    </row>
    <row r="45" spans="1:8" x14ac:dyDescent="0.45">
      <c r="A45" t="s">
        <v>15</v>
      </c>
      <c r="B45">
        <v>15</v>
      </c>
      <c r="C45" t="s">
        <v>911</v>
      </c>
      <c r="D45" t="s">
        <v>9</v>
      </c>
      <c r="E45" t="s">
        <v>37</v>
      </c>
      <c r="F45" t="s">
        <v>37</v>
      </c>
      <c r="G45" t="s">
        <v>37</v>
      </c>
      <c r="H45" t="s">
        <v>38</v>
      </c>
    </row>
    <row r="46" spans="1:8" x14ac:dyDescent="0.45">
      <c r="A46" t="s">
        <v>15</v>
      </c>
      <c r="B46">
        <v>15</v>
      </c>
      <c r="C46" t="s">
        <v>912</v>
      </c>
      <c r="D46">
        <v>37.409999999999997</v>
      </c>
      <c r="E46" t="s">
        <v>37</v>
      </c>
      <c r="F46" t="s">
        <v>37</v>
      </c>
      <c r="G46" t="s">
        <v>37</v>
      </c>
      <c r="H46" t="s">
        <v>38</v>
      </c>
    </row>
    <row r="47" spans="1:8" x14ac:dyDescent="0.45">
      <c r="A47" t="s">
        <v>15</v>
      </c>
      <c r="B47">
        <v>16</v>
      </c>
      <c r="C47" t="s">
        <v>913</v>
      </c>
      <c r="D47">
        <v>37.35</v>
      </c>
      <c r="E47" t="s">
        <v>37</v>
      </c>
      <c r="F47" t="s">
        <v>37</v>
      </c>
      <c r="G47" t="s">
        <v>37</v>
      </c>
      <c r="H47" t="s">
        <v>38</v>
      </c>
    </row>
    <row r="48" spans="1:8" x14ac:dyDescent="0.45">
      <c r="A48" t="s">
        <v>15</v>
      </c>
      <c r="B48">
        <v>16</v>
      </c>
      <c r="C48" t="s">
        <v>914</v>
      </c>
      <c r="D48">
        <v>39.79</v>
      </c>
      <c r="E48" t="s">
        <v>37</v>
      </c>
      <c r="F48" t="s">
        <v>37</v>
      </c>
      <c r="G48" t="s">
        <v>37</v>
      </c>
      <c r="H48" t="s">
        <v>38</v>
      </c>
    </row>
    <row r="49" spans="1:8" x14ac:dyDescent="0.45">
      <c r="A49" t="s">
        <v>15</v>
      </c>
      <c r="B49">
        <v>16</v>
      </c>
      <c r="C49" t="s">
        <v>915</v>
      </c>
      <c r="D49" t="s">
        <v>9</v>
      </c>
      <c r="E49" t="s">
        <v>37</v>
      </c>
      <c r="F49" t="s">
        <v>37</v>
      </c>
      <c r="G49" t="s">
        <v>37</v>
      </c>
      <c r="H49" t="s">
        <v>38</v>
      </c>
    </row>
    <row r="50" spans="1:8" x14ac:dyDescent="0.45">
      <c r="A50" t="s">
        <v>15</v>
      </c>
      <c r="B50">
        <v>17</v>
      </c>
      <c r="C50" t="s">
        <v>916</v>
      </c>
      <c r="D50" t="s">
        <v>9</v>
      </c>
      <c r="E50" t="s">
        <v>37</v>
      </c>
      <c r="F50" t="s">
        <v>37</v>
      </c>
      <c r="G50" t="s">
        <v>37</v>
      </c>
      <c r="H50" t="s">
        <v>38</v>
      </c>
    </row>
    <row r="51" spans="1:8" x14ac:dyDescent="0.45">
      <c r="A51" t="s">
        <v>15</v>
      </c>
      <c r="B51">
        <v>17</v>
      </c>
      <c r="C51" t="s">
        <v>917</v>
      </c>
      <c r="D51" t="s">
        <v>9</v>
      </c>
      <c r="E51" t="s">
        <v>37</v>
      </c>
      <c r="F51" t="s">
        <v>37</v>
      </c>
      <c r="G51" t="s">
        <v>37</v>
      </c>
      <c r="H51" t="s">
        <v>38</v>
      </c>
    </row>
    <row r="52" spans="1:8" x14ac:dyDescent="0.45">
      <c r="A52" t="s">
        <v>15</v>
      </c>
      <c r="B52">
        <v>17</v>
      </c>
      <c r="C52" t="s">
        <v>918</v>
      </c>
      <c r="D52" t="s">
        <v>9</v>
      </c>
      <c r="E52" t="s">
        <v>37</v>
      </c>
      <c r="F52" t="s">
        <v>37</v>
      </c>
      <c r="G52" t="s">
        <v>37</v>
      </c>
      <c r="H52" t="s">
        <v>38</v>
      </c>
    </row>
    <row r="53" spans="1:8" x14ac:dyDescent="0.45">
      <c r="A53" t="s">
        <v>15</v>
      </c>
      <c r="B53">
        <v>18</v>
      </c>
      <c r="C53" t="s">
        <v>919</v>
      </c>
      <c r="D53" t="s">
        <v>9</v>
      </c>
      <c r="E53" t="s">
        <v>37</v>
      </c>
      <c r="F53" t="s">
        <v>37</v>
      </c>
      <c r="G53" t="s">
        <v>37</v>
      </c>
      <c r="H53" t="s">
        <v>38</v>
      </c>
    </row>
    <row r="54" spans="1:8" x14ac:dyDescent="0.45">
      <c r="A54" t="s">
        <v>15</v>
      </c>
      <c r="B54">
        <v>18</v>
      </c>
      <c r="C54" t="s">
        <v>920</v>
      </c>
      <c r="D54" t="s">
        <v>9</v>
      </c>
      <c r="E54" t="s">
        <v>37</v>
      </c>
      <c r="F54" t="s">
        <v>37</v>
      </c>
      <c r="G54" t="s">
        <v>37</v>
      </c>
      <c r="H54" t="s">
        <v>38</v>
      </c>
    </row>
    <row r="55" spans="1:8" x14ac:dyDescent="0.45">
      <c r="A55" t="s">
        <v>15</v>
      </c>
      <c r="B55">
        <v>18</v>
      </c>
      <c r="C55" t="s">
        <v>921</v>
      </c>
      <c r="D55" t="s">
        <v>9</v>
      </c>
      <c r="E55" t="s">
        <v>37</v>
      </c>
      <c r="F55" t="s">
        <v>37</v>
      </c>
      <c r="G55" t="s">
        <v>37</v>
      </c>
      <c r="H55" t="s">
        <v>38</v>
      </c>
    </row>
    <row r="56" spans="1:8" x14ac:dyDescent="0.45">
      <c r="A56" t="s">
        <v>15</v>
      </c>
      <c r="B56">
        <v>19</v>
      </c>
      <c r="C56" t="s">
        <v>922</v>
      </c>
      <c r="D56">
        <v>37.31</v>
      </c>
      <c r="E56" t="s">
        <v>37</v>
      </c>
      <c r="F56" t="s">
        <v>37</v>
      </c>
      <c r="G56" t="s">
        <v>37</v>
      </c>
      <c r="H56" t="s">
        <v>38</v>
      </c>
    </row>
    <row r="57" spans="1:8" x14ac:dyDescent="0.45">
      <c r="A57" t="s">
        <v>15</v>
      </c>
      <c r="B57">
        <v>19</v>
      </c>
      <c r="C57" t="s">
        <v>923</v>
      </c>
      <c r="D57">
        <v>36.79</v>
      </c>
      <c r="E57" t="s">
        <v>37</v>
      </c>
      <c r="F57" t="s">
        <v>37</v>
      </c>
      <c r="G57" t="s">
        <v>37</v>
      </c>
      <c r="H57" t="s">
        <v>38</v>
      </c>
    </row>
    <row r="58" spans="1:8" x14ac:dyDescent="0.45">
      <c r="A58" t="s">
        <v>15</v>
      </c>
      <c r="B58">
        <v>19</v>
      </c>
      <c r="C58" t="s">
        <v>924</v>
      </c>
      <c r="D58">
        <v>39.590000000000003</v>
      </c>
      <c r="E58" t="s">
        <v>37</v>
      </c>
      <c r="F58" t="s">
        <v>37</v>
      </c>
      <c r="G58" t="s">
        <v>37</v>
      </c>
      <c r="H58" t="s">
        <v>38</v>
      </c>
    </row>
    <row r="59" spans="1:8" x14ac:dyDescent="0.45">
      <c r="A59" t="s">
        <v>15</v>
      </c>
      <c r="B59">
        <v>20</v>
      </c>
      <c r="C59" t="s">
        <v>925</v>
      </c>
      <c r="D59">
        <v>36.22</v>
      </c>
      <c r="E59" t="s">
        <v>37</v>
      </c>
      <c r="F59" t="s">
        <v>37</v>
      </c>
      <c r="G59" t="s">
        <v>37</v>
      </c>
      <c r="H59" t="s">
        <v>38</v>
      </c>
    </row>
    <row r="60" spans="1:8" x14ac:dyDescent="0.45">
      <c r="A60" t="s">
        <v>15</v>
      </c>
      <c r="B60">
        <v>20</v>
      </c>
      <c r="C60" t="s">
        <v>926</v>
      </c>
      <c r="D60">
        <v>36.96</v>
      </c>
      <c r="E60" t="s">
        <v>37</v>
      </c>
      <c r="F60" t="s">
        <v>37</v>
      </c>
      <c r="G60" t="s">
        <v>37</v>
      </c>
      <c r="H60" t="s">
        <v>38</v>
      </c>
    </row>
    <row r="61" spans="1:8" x14ac:dyDescent="0.45">
      <c r="A61" t="s">
        <v>15</v>
      </c>
      <c r="B61">
        <v>20</v>
      </c>
      <c r="C61" t="s">
        <v>927</v>
      </c>
      <c r="D61">
        <v>37.369999999999997</v>
      </c>
      <c r="E61" t="s">
        <v>37</v>
      </c>
      <c r="F61" t="s">
        <v>37</v>
      </c>
      <c r="G61" t="s">
        <v>37</v>
      </c>
      <c r="H61" t="s">
        <v>38</v>
      </c>
    </row>
    <row r="62" spans="1:8" x14ac:dyDescent="0.45">
      <c r="A62" t="s">
        <v>15</v>
      </c>
      <c r="B62">
        <v>21</v>
      </c>
      <c r="C62" t="s">
        <v>928</v>
      </c>
      <c r="D62">
        <v>36.049999999999997</v>
      </c>
      <c r="E62" t="s">
        <v>37</v>
      </c>
      <c r="F62" t="s">
        <v>37</v>
      </c>
      <c r="G62" t="s">
        <v>37</v>
      </c>
      <c r="H62" t="s">
        <v>38</v>
      </c>
    </row>
    <row r="63" spans="1:8" x14ac:dyDescent="0.45">
      <c r="A63" t="s">
        <v>15</v>
      </c>
      <c r="B63">
        <v>21</v>
      </c>
      <c r="C63" t="s">
        <v>929</v>
      </c>
      <c r="D63">
        <v>38.71</v>
      </c>
      <c r="E63" t="s">
        <v>37</v>
      </c>
      <c r="F63" t="s">
        <v>37</v>
      </c>
      <c r="G63" t="s">
        <v>37</v>
      </c>
      <c r="H63" t="s">
        <v>38</v>
      </c>
    </row>
    <row r="64" spans="1:8" x14ac:dyDescent="0.45">
      <c r="A64" t="s">
        <v>15</v>
      </c>
      <c r="B64">
        <v>21</v>
      </c>
      <c r="C64" t="s">
        <v>930</v>
      </c>
      <c r="D64">
        <v>38.46</v>
      </c>
      <c r="E64" t="s">
        <v>37</v>
      </c>
      <c r="F64" t="s">
        <v>37</v>
      </c>
      <c r="G64" t="s">
        <v>37</v>
      </c>
      <c r="H64" t="s">
        <v>38</v>
      </c>
    </row>
    <row r="65" spans="1:8" x14ac:dyDescent="0.45">
      <c r="A65" t="s">
        <v>15</v>
      </c>
      <c r="B65">
        <v>22</v>
      </c>
      <c r="C65" t="s">
        <v>931</v>
      </c>
      <c r="D65" t="s">
        <v>9</v>
      </c>
      <c r="E65" t="s">
        <v>37</v>
      </c>
      <c r="F65" t="s">
        <v>37</v>
      </c>
      <c r="G65" t="s">
        <v>37</v>
      </c>
      <c r="H65" t="s">
        <v>38</v>
      </c>
    </row>
    <row r="66" spans="1:8" x14ac:dyDescent="0.45">
      <c r="A66" t="s">
        <v>15</v>
      </c>
      <c r="B66">
        <v>22</v>
      </c>
      <c r="C66" t="s">
        <v>932</v>
      </c>
      <c r="D66" t="s">
        <v>9</v>
      </c>
      <c r="E66" t="s">
        <v>37</v>
      </c>
      <c r="F66" t="s">
        <v>37</v>
      </c>
      <c r="G66" t="s">
        <v>37</v>
      </c>
      <c r="H66" t="s">
        <v>38</v>
      </c>
    </row>
    <row r="67" spans="1:8" x14ac:dyDescent="0.45">
      <c r="A67" t="s">
        <v>15</v>
      </c>
      <c r="B67">
        <v>22</v>
      </c>
      <c r="C67" t="s">
        <v>933</v>
      </c>
      <c r="D67">
        <v>37.74</v>
      </c>
      <c r="E67" t="s">
        <v>37</v>
      </c>
      <c r="F67" t="s">
        <v>37</v>
      </c>
      <c r="G67" t="s">
        <v>37</v>
      </c>
      <c r="H67" t="s">
        <v>38</v>
      </c>
    </row>
    <row r="68" spans="1:8" x14ac:dyDescent="0.45">
      <c r="A68" t="s">
        <v>15</v>
      </c>
      <c r="B68">
        <v>23</v>
      </c>
      <c r="C68" t="s">
        <v>934</v>
      </c>
      <c r="D68" t="s">
        <v>9</v>
      </c>
      <c r="E68" t="s">
        <v>37</v>
      </c>
      <c r="F68" t="s">
        <v>37</v>
      </c>
      <c r="G68" t="s">
        <v>37</v>
      </c>
      <c r="H68" t="s">
        <v>38</v>
      </c>
    </row>
    <row r="69" spans="1:8" x14ac:dyDescent="0.45">
      <c r="A69" t="s">
        <v>15</v>
      </c>
      <c r="B69">
        <v>23</v>
      </c>
      <c r="C69" t="s">
        <v>935</v>
      </c>
      <c r="D69" t="s">
        <v>9</v>
      </c>
      <c r="E69" t="s">
        <v>37</v>
      </c>
      <c r="F69" t="s">
        <v>37</v>
      </c>
      <c r="G69" t="s">
        <v>37</v>
      </c>
      <c r="H69" t="s">
        <v>38</v>
      </c>
    </row>
    <row r="70" spans="1:8" x14ac:dyDescent="0.45">
      <c r="A70" t="s">
        <v>15</v>
      </c>
      <c r="B70">
        <v>23</v>
      </c>
      <c r="C70" t="s">
        <v>936</v>
      </c>
      <c r="D70" t="s">
        <v>9</v>
      </c>
      <c r="E70" t="s">
        <v>37</v>
      </c>
      <c r="F70" t="s">
        <v>37</v>
      </c>
      <c r="G70" t="s">
        <v>37</v>
      </c>
      <c r="H70" t="s">
        <v>38</v>
      </c>
    </row>
    <row r="71" spans="1:8" x14ac:dyDescent="0.45">
      <c r="A71" t="s">
        <v>15</v>
      </c>
      <c r="B71">
        <v>24</v>
      </c>
      <c r="C71" t="s">
        <v>937</v>
      </c>
      <c r="D71">
        <v>36.9</v>
      </c>
      <c r="E71" t="s">
        <v>37</v>
      </c>
      <c r="F71" t="s">
        <v>37</v>
      </c>
      <c r="G71" t="s">
        <v>37</v>
      </c>
      <c r="H71" t="s">
        <v>38</v>
      </c>
    </row>
    <row r="72" spans="1:8" x14ac:dyDescent="0.45">
      <c r="A72" t="s">
        <v>15</v>
      </c>
      <c r="B72">
        <v>24</v>
      </c>
      <c r="C72" t="s">
        <v>938</v>
      </c>
      <c r="D72">
        <v>37.299999999999997</v>
      </c>
      <c r="E72" t="s">
        <v>37</v>
      </c>
      <c r="F72" t="s">
        <v>37</v>
      </c>
      <c r="G72" t="s">
        <v>37</v>
      </c>
      <c r="H72" t="s">
        <v>38</v>
      </c>
    </row>
    <row r="73" spans="1:8" x14ac:dyDescent="0.45">
      <c r="A73" t="s">
        <v>15</v>
      </c>
      <c r="B73">
        <v>24</v>
      </c>
      <c r="C73" t="s">
        <v>939</v>
      </c>
      <c r="D73" t="s">
        <v>9</v>
      </c>
      <c r="E73" t="s">
        <v>37</v>
      </c>
      <c r="F73" t="s">
        <v>37</v>
      </c>
      <c r="G73" t="s">
        <v>37</v>
      </c>
      <c r="H73" t="s">
        <v>38</v>
      </c>
    </row>
    <row r="74" spans="1:8" x14ac:dyDescent="0.45">
      <c r="A74" t="s">
        <v>15</v>
      </c>
      <c r="B74">
        <v>25</v>
      </c>
      <c r="C74" t="s">
        <v>940</v>
      </c>
      <c r="D74">
        <v>36.39</v>
      </c>
      <c r="E74" t="s">
        <v>37</v>
      </c>
      <c r="F74" t="s">
        <v>37</v>
      </c>
      <c r="G74" t="s">
        <v>37</v>
      </c>
      <c r="H74" t="s">
        <v>38</v>
      </c>
    </row>
    <row r="75" spans="1:8" x14ac:dyDescent="0.45">
      <c r="A75" t="s">
        <v>15</v>
      </c>
      <c r="B75">
        <v>25</v>
      </c>
      <c r="C75" t="s">
        <v>941</v>
      </c>
      <c r="D75">
        <v>36.44</v>
      </c>
      <c r="E75" t="s">
        <v>37</v>
      </c>
      <c r="F75" t="s">
        <v>37</v>
      </c>
      <c r="G75" t="s">
        <v>37</v>
      </c>
      <c r="H75" t="s">
        <v>38</v>
      </c>
    </row>
    <row r="76" spans="1:8" x14ac:dyDescent="0.45">
      <c r="A76" t="s">
        <v>15</v>
      </c>
      <c r="B76">
        <v>25</v>
      </c>
      <c r="C76" t="s">
        <v>942</v>
      </c>
      <c r="D76">
        <v>37.89</v>
      </c>
      <c r="E76" t="s">
        <v>37</v>
      </c>
      <c r="F76" t="s">
        <v>37</v>
      </c>
      <c r="G76" t="s">
        <v>37</v>
      </c>
      <c r="H76" t="s">
        <v>38</v>
      </c>
    </row>
    <row r="77" spans="1:8" x14ac:dyDescent="0.45">
      <c r="A77" t="s">
        <v>15</v>
      </c>
      <c r="B77">
        <v>26</v>
      </c>
      <c r="C77" t="s">
        <v>943</v>
      </c>
      <c r="D77" t="s">
        <v>9</v>
      </c>
      <c r="E77" t="s">
        <v>37</v>
      </c>
      <c r="F77" t="s">
        <v>37</v>
      </c>
      <c r="G77" t="s">
        <v>37</v>
      </c>
      <c r="H77" t="s">
        <v>38</v>
      </c>
    </row>
    <row r="78" spans="1:8" x14ac:dyDescent="0.45">
      <c r="A78" t="s">
        <v>15</v>
      </c>
      <c r="B78">
        <v>26</v>
      </c>
      <c r="C78" t="s">
        <v>944</v>
      </c>
      <c r="D78">
        <v>37.68</v>
      </c>
      <c r="E78" t="s">
        <v>37</v>
      </c>
      <c r="F78" t="s">
        <v>37</v>
      </c>
      <c r="G78" t="s">
        <v>37</v>
      </c>
      <c r="H78" t="s">
        <v>38</v>
      </c>
    </row>
    <row r="79" spans="1:8" x14ac:dyDescent="0.45">
      <c r="A79" t="s">
        <v>15</v>
      </c>
      <c r="B79">
        <v>26</v>
      </c>
      <c r="C79" t="s">
        <v>945</v>
      </c>
      <c r="D79">
        <v>38.67</v>
      </c>
      <c r="E79" t="s">
        <v>37</v>
      </c>
      <c r="F79" t="s">
        <v>37</v>
      </c>
      <c r="G79" t="s">
        <v>37</v>
      </c>
      <c r="H79" t="s">
        <v>38</v>
      </c>
    </row>
    <row r="80" spans="1:8" x14ac:dyDescent="0.45">
      <c r="A80" t="s">
        <v>15</v>
      </c>
      <c r="B80">
        <v>27</v>
      </c>
      <c r="C80" t="s">
        <v>946</v>
      </c>
      <c r="D80" t="s">
        <v>9</v>
      </c>
      <c r="E80" t="s">
        <v>37</v>
      </c>
      <c r="F80" t="s">
        <v>37</v>
      </c>
      <c r="G80" t="s">
        <v>37</v>
      </c>
      <c r="H80" t="s">
        <v>38</v>
      </c>
    </row>
    <row r="81" spans="1:8" x14ac:dyDescent="0.45">
      <c r="A81" t="s">
        <v>15</v>
      </c>
      <c r="B81">
        <v>27</v>
      </c>
      <c r="C81" t="s">
        <v>947</v>
      </c>
      <c r="D81" t="s">
        <v>9</v>
      </c>
      <c r="E81" t="s">
        <v>37</v>
      </c>
      <c r="F81" t="s">
        <v>37</v>
      </c>
      <c r="G81" t="s">
        <v>37</v>
      </c>
      <c r="H81" t="s">
        <v>38</v>
      </c>
    </row>
    <row r="82" spans="1:8" x14ac:dyDescent="0.45">
      <c r="A82" t="s">
        <v>15</v>
      </c>
      <c r="B82">
        <v>27</v>
      </c>
      <c r="C82" t="s">
        <v>948</v>
      </c>
      <c r="D82">
        <v>39.44</v>
      </c>
      <c r="E82" t="s">
        <v>37</v>
      </c>
      <c r="F82" t="s">
        <v>37</v>
      </c>
      <c r="G82" t="s">
        <v>37</v>
      </c>
      <c r="H82" t="s">
        <v>38</v>
      </c>
    </row>
    <row r="83" spans="1:8" x14ac:dyDescent="0.45">
      <c r="A83" t="s">
        <v>15</v>
      </c>
      <c r="B83">
        <v>28</v>
      </c>
      <c r="C83" t="s">
        <v>949</v>
      </c>
      <c r="D83" t="s">
        <v>9</v>
      </c>
      <c r="E83" t="s">
        <v>37</v>
      </c>
      <c r="F83" t="s">
        <v>37</v>
      </c>
      <c r="G83" t="s">
        <v>37</v>
      </c>
      <c r="H83" t="s">
        <v>38</v>
      </c>
    </row>
    <row r="84" spans="1:8" x14ac:dyDescent="0.45">
      <c r="A84" t="s">
        <v>15</v>
      </c>
      <c r="B84">
        <v>28</v>
      </c>
      <c r="C84" t="s">
        <v>950</v>
      </c>
      <c r="D84" t="s">
        <v>9</v>
      </c>
      <c r="E84" t="s">
        <v>37</v>
      </c>
      <c r="F84" t="s">
        <v>37</v>
      </c>
      <c r="G84" t="s">
        <v>37</v>
      </c>
      <c r="H84" t="s">
        <v>38</v>
      </c>
    </row>
    <row r="85" spans="1:8" x14ac:dyDescent="0.45">
      <c r="A85" t="s">
        <v>15</v>
      </c>
      <c r="B85">
        <v>28</v>
      </c>
      <c r="C85" t="s">
        <v>951</v>
      </c>
      <c r="D85" t="s">
        <v>9</v>
      </c>
      <c r="E85" t="s">
        <v>37</v>
      </c>
      <c r="F85" t="s">
        <v>37</v>
      </c>
      <c r="G85" t="s">
        <v>37</v>
      </c>
      <c r="H85" t="s">
        <v>38</v>
      </c>
    </row>
    <row r="86" spans="1:8" x14ac:dyDescent="0.45">
      <c r="A86" t="s">
        <v>15</v>
      </c>
      <c r="B86">
        <v>29</v>
      </c>
      <c r="C86" t="s">
        <v>952</v>
      </c>
      <c r="D86" t="s">
        <v>9</v>
      </c>
      <c r="E86" t="s">
        <v>37</v>
      </c>
      <c r="F86" t="s">
        <v>37</v>
      </c>
      <c r="G86" t="s">
        <v>37</v>
      </c>
      <c r="H86" t="s">
        <v>38</v>
      </c>
    </row>
    <row r="87" spans="1:8" x14ac:dyDescent="0.45">
      <c r="A87" t="s">
        <v>15</v>
      </c>
      <c r="B87">
        <v>29</v>
      </c>
      <c r="C87" t="s">
        <v>953</v>
      </c>
      <c r="D87" t="s">
        <v>9</v>
      </c>
      <c r="E87" t="s">
        <v>37</v>
      </c>
      <c r="F87" t="s">
        <v>37</v>
      </c>
      <c r="G87" t="s">
        <v>37</v>
      </c>
      <c r="H87" t="s">
        <v>38</v>
      </c>
    </row>
    <row r="88" spans="1:8" x14ac:dyDescent="0.45">
      <c r="A88" t="s">
        <v>15</v>
      </c>
      <c r="B88">
        <v>29</v>
      </c>
      <c r="C88" t="s">
        <v>954</v>
      </c>
      <c r="D88" t="s">
        <v>9</v>
      </c>
      <c r="E88" t="s">
        <v>37</v>
      </c>
      <c r="F88" t="s">
        <v>37</v>
      </c>
      <c r="G88" t="s">
        <v>37</v>
      </c>
      <c r="H88" t="s">
        <v>38</v>
      </c>
    </row>
    <row r="89" spans="1:8" x14ac:dyDescent="0.45">
      <c r="A89" t="s">
        <v>7</v>
      </c>
      <c r="B89" t="s">
        <v>156</v>
      </c>
      <c r="C89" t="s">
        <v>7</v>
      </c>
      <c r="D89" t="s">
        <v>9</v>
      </c>
      <c r="E89" t="s">
        <v>37</v>
      </c>
      <c r="F89" t="s">
        <v>37</v>
      </c>
      <c r="G89" t="s">
        <v>37</v>
      </c>
      <c r="H89" t="s">
        <v>38</v>
      </c>
    </row>
    <row r="90" spans="1:8" x14ac:dyDescent="0.45">
      <c r="A90" t="s">
        <v>7</v>
      </c>
      <c r="B90" t="s">
        <v>156</v>
      </c>
      <c r="C90" t="s">
        <v>7</v>
      </c>
      <c r="D90" t="s">
        <v>9</v>
      </c>
      <c r="E90" t="s">
        <v>37</v>
      </c>
      <c r="F90" t="s">
        <v>37</v>
      </c>
      <c r="G90" t="s">
        <v>37</v>
      </c>
      <c r="H90" t="s">
        <v>38</v>
      </c>
    </row>
    <row r="91" spans="1:8" x14ac:dyDescent="0.45">
      <c r="A91" t="s">
        <v>7</v>
      </c>
      <c r="B91" t="s">
        <v>156</v>
      </c>
      <c r="C91" t="s">
        <v>7</v>
      </c>
      <c r="D91" t="s">
        <v>9</v>
      </c>
      <c r="E91" t="s">
        <v>37</v>
      </c>
      <c r="F91" t="s">
        <v>37</v>
      </c>
      <c r="G91" t="s">
        <v>37</v>
      </c>
      <c r="H91" t="s">
        <v>38</v>
      </c>
    </row>
    <row r="92" spans="1:8" x14ac:dyDescent="0.45">
      <c r="A92" t="s">
        <v>11</v>
      </c>
      <c r="B92" t="s">
        <v>1246</v>
      </c>
      <c r="C92" t="s">
        <v>1251</v>
      </c>
      <c r="D92">
        <v>32.96</v>
      </c>
      <c r="E92" t="s">
        <v>42</v>
      </c>
      <c r="F92" t="s">
        <v>37</v>
      </c>
      <c r="G92" t="s">
        <v>37</v>
      </c>
      <c r="H92" t="s">
        <v>38</v>
      </c>
    </row>
    <row r="93" spans="1:8" x14ac:dyDescent="0.45">
      <c r="A93" t="s">
        <v>11</v>
      </c>
      <c r="B93" t="s">
        <v>1246</v>
      </c>
      <c r="C93" t="s">
        <v>1251</v>
      </c>
      <c r="D93">
        <v>33.299999999999997</v>
      </c>
      <c r="E93" t="s">
        <v>42</v>
      </c>
      <c r="F93" t="s">
        <v>37</v>
      </c>
      <c r="G93" t="s">
        <v>37</v>
      </c>
      <c r="H93" t="s">
        <v>38</v>
      </c>
    </row>
    <row r="94" spans="1:8" x14ac:dyDescent="0.45">
      <c r="A94" t="s">
        <v>11</v>
      </c>
      <c r="B94" t="s">
        <v>1246</v>
      </c>
      <c r="C94" t="s">
        <v>1251</v>
      </c>
      <c r="D94">
        <v>33.090000000000003</v>
      </c>
      <c r="E94" t="s">
        <v>42</v>
      </c>
      <c r="F94" t="s">
        <v>37</v>
      </c>
      <c r="G94" t="s">
        <v>37</v>
      </c>
      <c r="H94" t="s">
        <v>38</v>
      </c>
    </row>
    <row r="95" spans="1:8" x14ac:dyDescent="0.45">
      <c r="A95" t="s">
        <v>11</v>
      </c>
      <c r="B95" t="s">
        <v>1247</v>
      </c>
      <c r="C95" t="s">
        <v>1252</v>
      </c>
      <c r="D95">
        <v>12.05</v>
      </c>
      <c r="E95" t="s">
        <v>42</v>
      </c>
      <c r="F95" t="s">
        <v>37</v>
      </c>
      <c r="G95" t="s">
        <v>37</v>
      </c>
      <c r="H95" t="s">
        <v>38</v>
      </c>
    </row>
    <row r="96" spans="1:8" x14ac:dyDescent="0.45">
      <c r="A96" t="s">
        <v>11</v>
      </c>
      <c r="B96" t="s">
        <v>1247</v>
      </c>
      <c r="C96" t="s">
        <v>1252</v>
      </c>
      <c r="D96">
        <v>12.57</v>
      </c>
      <c r="E96" t="s">
        <v>42</v>
      </c>
      <c r="F96" t="s">
        <v>37</v>
      </c>
      <c r="G96" t="s">
        <v>37</v>
      </c>
      <c r="H96" t="s">
        <v>38</v>
      </c>
    </row>
    <row r="97" spans="1:8" x14ac:dyDescent="0.45">
      <c r="A97" t="s">
        <v>11</v>
      </c>
      <c r="B97" t="s">
        <v>1247</v>
      </c>
      <c r="C97" t="s">
        <v>1252</v>
      </c>
      <c r="D97">
        <v>12.4</v>
      </c>
      <c r="E97" t="s">
        <v>42</v>
      </c>
      <c r="F97" t="s">
        <v>37</v>
      </c>
      <c r="G97" t="s">
        <v>37</v>
      </c>
      <c r="H97" t="s">
        <v>38</v>
      </c>
    </row>
  </sheetData>
  <sortState xmlns:xlrd2="http://schemas.microsoft.com/office/spreadsheetml/2017/richdata2" ref="A2:H97">
    <sortCondition ref="B2:B97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52266-8753-4AAC-B3E5-4103DD9D7DE7}">
  <dimension ref="A1:H97"/>
  <sheetViews>
    <sheetView topLeftCell="A82" zoomScale="130" zoomScaleNormal="130" workbookViewId="0">
      <selection activeCell="H71" sqref="H71"/>
    </sheetView>
  </sheetViews>
  <sheetFormatPr defaultRowHeight="14.25" x14ac:dyDescent="0.45"/>
  <cols>
    <col min="3" max="3" width="11.73046875" bestFit="1" customWidth="1"/>
  </cols>
  <sheetData>
    <row r="1" spans="1:8" x14ac:dyDescent="0.45">
      <c r="A1" t="s">
        <v>1225</v>
      </c>
      <c r="B1" t="s">
        <v>1226</v>
      </c>
      <c r="C1" t="s">
        <v>756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</row>
    <row r="2" spans="1:8" x14ac:dyDescent="0.45">
      <c r="A2" t="s">
        <v>15</v>
      </c>
      <c r="B2">
        <v>1</v>
      </c>
      <c r="C2" t="s">
        <v>955</v>
      </c>
      <c r="D2" t="s">
        <v>9</v>
      </c>
      <c r="E2" t="s">
        <v>37</v>
      </c>
      <c r="F2" t="s">
        <v>37</v>
      </c>
      <c r="G2" t="s">
        <v>37</v>
      </c>
      <c r="H2" t="s">
        <v>38</v>
      </c>
    </row>
    <row r="3" spans="1:8" x14ac:dyDescent="0.45">
      <c r="A3" t="s">
        <v>15</v>
      </c>
      <c r="B3">
        <v>1</v>
      </c>
      <c r="C3" t="s">
        <v>956</v>
      </c>
      <c r="D3" t="s">
        <v>9</v>
      </c>
      <c r="E3" t="s">
        <v>37</v>
      </c>
      <c r="F3" t="s">
        <v>37</v>
      </c>
      <c r="G3" t="s">
        <v>37</v>
      </c>
      <c r="H3" t="s">
        <v>38</v>
      </c>
    </row>
    <row r="4" spans="1:8" x14ac:dyDescent="0.45">
      <c r="A4" t="s">
        <v>15</v>
      </c>
      <c r="B4">
        <v>1</v>
      </c>
      <c r="C4" t="s">
        <v>957</v>
      </c>
      <c r="D4" t="s">
        <v>9</v>
      </c>
      <c r="E4" t="s">
        <v>37</v>
      </c>
      <c r="F4" t="s">
        <v>37</v>
      </c>
      <c r="G4" t="s">
        <v>37</v>
      </c>
      <c r="H4" t="s">
        <v>38</v>
      </c>
    </row>
    <row r="5" spans="1:8" x14ac:dyDescent="0.45">
      <c r="A5" t="s">
        <v>15</v>
      </c>
      <c r="B5">
        <v>2</v>
      </c>
      <c r="C5" t="s">
        <v>958</v>
      </c>
      <c r="D5" t="s">
        <v>9</v>
      </c>
      <c r="E5" t="s">
        <v>37</v>
      </c>
      <c r="F5" t="s">
        <v>37</v>
      </c>
      <c r="G5" t="s">
        <v>37</v>
      </c>
      <c r="H5" t="s">
        <v>38</v>
      </c>
    </row>
    <row r="6" spans="1:8" x14ac:dyDescent="0.45">
      <c r="A6" t="s">
        <v>15</v>
      </c>
      <c r="B6">
        <v>2</v>
      </c>
      <c r="C6" t="s">
        <v>959</v>
      </c>
      <c r="D6" t="s">
        <v>9</v>
      </c>
      <c r="E6" t="s">
        <v>37</v>
      </c>
      <c r="F6" t="s">
        <v>37</v>
      </c>
      <c r="G6" t="s">
        <v>37</v>
      </c>
      <c r="H6" t="s">
        <v>38</v>
      </c>
    </row>
    <row r="7" spans="1:8" x14ac:dyDescent="0.45">
      <c r="A7" t="s">
        <v>15</v>
      </c>
      <c r="B7">
        <v>2</v>
      </c>
      <c r="C7" t="s">
        <v>960</v>
      </c>
      <c r="D7" t="s">
        <v>9</v>
      </c>
      <c r="E7" t="s">
        <v>37</v>
      </c>
      <c r="F7" t="s">
        <v>37</v>
      </c>
      <c r="G7" t="s">
        <v>37</v>
      </c>
      <c r="H7" t="s">
        <v>38</v>
      </c>
    </row>
    <row r="8" spans="1:8" x14ac:dyDescent="0.45">
      <c r="A8" t="s">
        <v>15</v>
      </c>
      <c r="B8">
        <v>3</v>
      </c>
      <c r="C8" t="s">
        <v>961</v>
      </c>
      <c r="D8" t="s">
        <v>9</v>
      </c>
      <c r="E8" t="s">
        <v>37</v>
      </c>
      <c r="F8" t="s">
        <v>37</v>
      </c>
      <c r="G8" t="s">
        <v>37</v>
      </c>
      <c r="H8" t="s">
        <v>38</v>
      </c>
    </row>
    <row r="9" spans="1:8" x14ac:dyDescent="0.45">
      <c r="A9" t="s">
        <v>15</v>
      </c>
      <c r="B9">
        <v>3</v>
      </c>
      <c r="C9" t="s">
        <v>962</v>
      </c>
      <c r="D9" t="s">
        <v>9</v>
      </c>
      <c r="E9" t="s">
        <v>37</v>
      </c>
      <c r="F9" t="s">
        <v>37</v>
      </c>
      <c r="G9" t="s">
        <v>37</v>
      </c>
      <c r="H9" t="s">
        <v>38</v>
      </c>
    </row>
    <row r="10" spans="1:8" x14ac:dyDescent="0.45">
      <c r="A10" t="s">
        <v>15</v>
      </c>
      <c r="B10">
        <v>3</v>
      </c>
      <c r="C10" t="s">
        <v>963</v>
      </c>
      <c r="D10" t="s">
        <v>9</v>
      </c>
      <c r="E10" t="s">
        <v>37</v>
      </c>
      <c r="F10" t="s">
        <v>37</v>
      </c>
      <c r="G10" t="s">
        <v>37</v>
      </c>
      <c r="H10" t="s">
        <v>38</v>
      </c>
    </row>
    <row r="11" spans="1:8" x14ac:dyDescent="0.45">
      <c r="A11" t="s">
        <v>15</v>
      </c>
      <c r="B11">
        <v>4</v>
      </c>
      <c r="C11" t="s">
        <v>1264</v>
      </c>
      <c r="D11">
        <v>37.57</v>
      </c>
      <c r="E11" t="s">
        <v>37</v>
      </c>
      <c r="F11" t="s">
        <v>37</v>
      </c>
      <c r="G11" t="s">
        <v>37</v>
      </c>
      <c r="H11" t="s">
        <v>38</v>
      </c>
    </row>
    <row r="12" spans="1:8" x14ac:dyDescent="0.45">
      <c r="A12" t="s">
        <v>15</v>
      </c>
      <c r="B12">
        <v>4</v>
      </c>
      <c r="C12" t="s">
        <v>964</v>
      </c>
      <c r="D12" t="s">
        <v>9</v>
      </c>
      <c r="E12" t="s">
        <v>37</v>
      </c>
      <c r="F12" t="s">
        <v>37</v>
      </c>
      <c r="G12" t="s">
        <v>37</v>
      </c>
      <c r="H12" t="s">
        <v>38</v>
      </c>
    </row>
    <row r="13" spans="1:8" x14ac:dyDescent="0.45">
      <c r="A13" t="s">
        <v>15</v>
      </c>
      <c r="B13">
        <v>4</v>
      </c>
      <c r="C13" t="s">
        <v>965</v>
      </c>
      <c r="D13" t="s">
        <v>9</v>
      </c>
      <c r="E13" t="s">
        <v>37</v>
      </c>
      <c r="F13" t="s">
        <v>37</v>
      </c>
      <c r="G13" t="s">
        <v>37</v>
      </c>
      <c r="H13" t="s">
        <v>38</v>
      </c>
    </row>
    <row r="14" spans="1:8" x14ac:dyDescent="0.45">
      <c r="A14" t="s">
        <v>15</v>
      </c>
      <c r="B14">
        <v>5</v>
      </c>
      <c r="C14" t="s">
        <v>966</v>
      </c>
      <c r="D14" t="s">
        <v>9</v>
      </c>
      <c r="E14" t="s">
        <v>37</v>
      </c>
      <c r="F14" t="s">
        <v>37</v>
      </c>
      <c r="G14" t="s">
        <v>37</v>
      </c>
      <c r="H14" t="s">
        <v>38</v>
      </c>
    </row>
    <row r="15" spans="1:8" x14ac:dyDescent="0.45">
      <c r="A15" t="s">
        <v>15</v>
      </c>
      <c r="B15">
        <v>5</v>
      </c>
      <c r="C15" t="s">
        <v>967</v>
      </c>
      <c r="D15" t="s">
        <v>9</v>
      </c>
      <c r="E15" t="s">
        <v>37</v>
      </c>
      <c r="F15" t="s">
        <v>37</v>
      </c>
      <c r="G15" t="s">
        <v>37</v>
      </c>
      <c r="H15" t="s">
        <v>38</v>
      </c>
    </row>
    <row r="16" spans="1:8" x14ac:dyDescent="0.45">
      <c r="A16" t="s">
        <v>15</v>
      </c>
      <c r="B16">
        <v>5</v>
      </c>
      <c r="C16" t="s">
        <v>968</v>
      </c>
      <c r="D16">
        <v>37.909999999999997</v>
      </c>
      <c r="E16" t="s">
        <v>37</v>
      </c>
      <c r="F16" t="s">
        <v>37</v>
      </c>
      <c r="G16" t="s">
        <v>37</v>
      </c>
      <c r="H16" t="s">
        <v>38</v>
      </c>
    </row>
    <row r="17" spans="1:8" x14ac:dyDescent="0.45">
      <c r="A17" t="s">
        <v>15</v>
      </c>
      <c r="B17">
        <v>6</v>
      </c>
      <c r="C17" t="s">
        <v>969</v>
      </c>
      <c r="D17">
        <v>37.119999999999997</v>
      </c>
      <c r="E17" t="s">
        <v>37</v>
      </c>
      <c r="F17" t="s">
        <v>37</v>
      </c>
      <c r="G17" t="s">
        <v>37</v>
      </c>
      <c r="H17" t="s">
        <v>38</v>
      </c>
    </row>
    <row r="18" spans="1:8" x14ac:dyDescent="0.45">
      <c r="A18" t="s">
        <v>15</v>
      </c>
      <c r="B18">
        <v>6</v>
      </c>
      <c r="C18" t="s">
        <v>970</v>
      </c>
      <c r="D18">
        <v>37.49</v>
      </c>
      <c r="E18" t="s">
        <v>37</v>
      </c>
      <c r="F18" t="s">
        <v>37</v>
      </c>
      <c r="G18" t="s">
        <v>37</v>
      </c>
      <c r="H18" t="s">
        <v>38</v>
      </c>
    </row>
    <row r="19" spans="1:8" x14ac:dyDescent="0.45">
      <c r="A19" t="s">
        <v>15</v>
      </c>
      <c r="B19">
        <v>6</v>
      </c>
      <c r="C19" t="s">
        <v>971</v>
      </c>
      <c r="D19">
        <v>36.28</v>
      </c>
      <c r="E19" t="s">
        <v>37</v>
      </c>
      <c r="F19" t="s">
        <v>37</v>
      </c>
      <c r="G19" t="s">
        <v>37</v>
      </c>
      <c r="H19" t="s">
        <v>38</v>
      </c>
    </row>
    <row r="20" spans="1:8" x14ac:dyDescent="0.45">
      <c r="A20" t="s">
        <v>15</v>
      </c>
      <c r="B20">
        <v>7</v>
      </c>
      <c r="C20" t="s">
        <v>972</v>
      </c>
      <c r="D20">
        <v>37.340000000000003</v>
      </c>
      <c r="E20" t="s">
        <v>37</v>
      </c>
      <c r="F20" t="s">
        <v>37</v>
      </c>
      <c r="G20" t="s">
        <v>37</v>
      </c>
      <c r="H20" t="s">
        <v>38</v>
      </c>
    </row>
    <row r="21" spans="1:8" x14ac:dyDescent="0.45">
      <c r="A21" t="s">
        <v>15</v>
      </c>
      <c r="B21">
        <v>7</v>
      </c>
      <c r="C21" t="s">
        <v>973</v>
      </c>
      <c r="D21">
        <v>37.35</v>
      </c>
      <c r="E21" t="s">
        <v>37</v>
      </c>
      <c r="F21" t="s">
        <v>37</v>
      </c>
      <c r="G21" t="s">
        <v>37</v>
      </c>
      <c r="H21" t="s">
        <v>38</v>
      </c>
    </row>
    <row r="22" spans="1:8" x14ac:dyDescent="0.45">
      <c r="A22" t="s">
        <v>15</v>
      </c>
      <c r="B22">
        <v>7</v>
      </c>
      <c r="C22" t="s">
        <v>974</v>
      </c>
      <c r="D22">
        <v>38.39</v>
      </c>
      <c r="E22" t="s">
        <v>37</v>
      </c>
      <c r="F22" t="s">
        <v>37</v>
      </c>
      <c r="G22" t="s">
        <v>37</v>
      </c>
      <c r="H22" t="s">
        <v>38</v>
      </c>
    </row>
    <row r="23" spans="1:8" x14ac:dyDescent="0.45">
      <c r="A23" t="s">
        <v>15</v>
      </c>
      <c r="B23">
        <v>8</v>
      </c>
      <c r="C23" t="s">
        <v>975</v>
      </c>
      <c r="D23">
        <v>37.630000000000003</v>
      </c>
      <c r="E23" t="s">
        <v>37</v>
      </c>
      <c r="F23" t="s">
        <v>37</v>
      </c>
      <c r="G23" t="s">
        <v>37</v>
      </c>
      <c r="H23" t="s">
        <v>38</v>
      </c>
    </row>
    <row r="24" spans="1:8" x14ac:dyDescent="0.45">
      <c r="A24" t="s">
        <v>15</v>
      </c>
      <c r="B24">
        <v>8</v>
      </c>
      <c r="C24" t="s">
        <v>976</v>
      </c>
      <c r="D24">
        <v>37.39</v>
      </c>
      <c r="E24" t="s">
        <v>37</v>
      </c>
      <c r="F24" t="s">
        <v>37</v>
      </c>
      <c r="G24" t="s">
        <v>37</v>
      </c>
      <c r="H24" t="s">
        <v>38</v>
      </c>
    </row>
    <row r="25" spans="1:8" x14ac:dyDescent="0.45">
      <c r="A25" t="s">
        <v>15</v>
      </c>
      <c r="B25">
        <v>8</v>
      </c>
      <c r="C25" t="s">
        <v>977</v>
      </c>
      <c r="D25" t="s">
        <v>9</v>
      </c>
      <c r="E25" t="s">
        <v>37</v>
      </c>
      <c r="F25" t="s">
        <v>37</v>
      </c>
      <c r="G25" t="s">
        <v>37</v>
      </c>
      <c r="H25" t="s">
        <v>38</v>
      </c>
    </row>
    <row r="26" spans="1:8" x14ac:dyDescent="0.45">
      <c r="A26" t="s">
        <v>15</v>
      </c>
      <c r="B26">
        <v>9</v>
      </c>
      <c r="C26" t="s">
        <v>978</v>
      </c>
      <c r="D26">
        <v>37.229999999999997</v>
      </c>
      <c r="E26" t="s">
        <v>37</v>
      </c>
      <c r="F26" t="s">
        <v>37</v>
      </c>
      <c r="G26" t="s">
        <v>37</v>
      </c>
      <c r="H26" t="s">
        <v>38</v>
      </c>
    </row>
    <row r="27" spans="1:8" x14ac:dyDescent="0.45">
      <c r="A27" t="s">
        <v>15</v>
      </c>
      <c r="B27">
        <v>9</v>
      </c>
      <c r="C27" t="s">
        <v>979</v>
      </c>
      <c r="D27">
        <v>36.770000000000003</v>
      </c>
      <c r="E27" t="s">
        <v>37</v>
      </c>
      <c r="F27" t="s">
        <v>37</v>
      </c>
      <c r="G27" t="s">
        <v>37</v>
      </c>
      <c r="H27" t="s">
        <v>38</v>
      </c>
    </row>
    <row r="28" spans="1:8" x14ac:dyDescent="0.45">
      <c r="A28" t="s">
        <v>15</v>
      </c>
      <c r="B28">
        <v>9</v>
      </c>
      <c r="C28" t="s">
        <v>980</v>
      </c>
      <c r="D28">
        <v>37.21</v>
      </c>
      <c r="E28" t="s">
        <v>37</v>
      </c>
      <c r="F28" t="s">
        <v>37</v>
      </c>
      <c r="G28" t="s">
        <v>37</v>
      </c>
      <c r="H28" t="s">
        <v>38</v>
      </c>
    </row>
    <row r="29" spans="1:8" x14ac:dyDescent="0.45">
      <c r="A29" t="s">
        <v>15</v>
      </c>
      <c r="B29">
        <v>10</v>
      </c>
      <c r="C29" t="s">
        <v>981</v>
      </c>
      <c r="D29" t="s">
        <v>9</v>
      </c>
      <c r="E29" t="s">
        <v>37</v>
      </c>
      <c r="F29" t="s">
        <v>37</v>
      </c>
      <c r="G29" t="s">
        <v>37</v>
      </c>
      <c r="H29" t="s">
        <v>38</v>
      </c>
    </row>
    <row r="30" spans="1:8" x14ac:dyDescent="0.45">
      <c r="A30" t="s">
        <v>15</v>
      </c>
      <c r="B30">
        <v>10</v>
      </c>
      <c r="C30" t="s">
        <v>982</v>
      </c>
      <c r="D30" t="s">
        <v>9</v>
      </c>
      <c r="E30" t="s">
        <v>37</v>
      </c>
      <c r="F30" t="s">
        <v>37</v>
      </c>
      <c r="G30" t="s">
        <v>37</v>
      </c>
      <c r="H30" t="s">
        <v>38</v>
      </c>
    </row>
    <row r="31" spans="1:8" x14ac:dyDescent="0.45">
      <c r="A31" t="s">
        <v>15</v>
      </c>
      <c r="B31">
        <v>10</v>
      </c>
      <c r="C31" t="s">
        <v>983</v>
      </c>
      <c r="D31">
        <v>37.659999999999997</v>
      </c>
      <c r="E31" t="s">
        <v>37</v>
      </c>
      <c r="F31" t="s">
        <v>37</v>
      </c>
      <c r="G31" t="s">
        <v>37</v>
      </c>
      <c r="H31" t="s">
        <v>38</v>
      </c>
    </row>
    <row r="32" spans="1:8" x14ac:dyDescent="0.45">
      <c r="A32" t="s">
        <v>15</v>
      </c>
      <c r="B32">
        <v>11</v>
      </c>
      <c r="C32" t="s">
        <v>984</v>
      </c>
      <c r="D32" t="s">
        <v>9</v>
      </c>
      <c r="E32" t="s">
        <v>37</v>
      </c>
      <c r="F32" t="s">
        <v>37</v>
      </c>
      <c r="G32" t="s">
        <v>37</v>
      </c>
      <c r="H32" t="s">
        <v>38</v>
      </c>
    </row>
    <row r="33" spans="1:8" x14ac:dyDescent="0.45">
      <c r="A33" t="s">
        <v>15</v>
      </c>
      <c r="B33">
        <v>11</v>
      </c>
      <c r="C33" t="s">
        <v>985</v>
      </c>
      <c r="D33" t="s">
        <v>9</v>
      </c>
      <c r="E33" t="s">
        <v>37</v>
      </c>
      <c r="F33" t="s">
        <v>37</v>
      </c>
      <c r="G33" t="s">
        <v>37</v>
      </c>
      <c r="H33" t="s">
        <v>38</v>
      </c>
    </row>
    <row r="34" spans="1:8" x14ac:dyDescent="0.45">
      <c r="A34" t="s">
        <v>15</v>
      </c>
      <c r="B34">
        <v>11</v>
      </c>
      <c r="C34" t="s">
        <v>986</v>
      </c>
      <c r="D34">
        <v>38.72</v>
      </c>
      <c r="E34" t="s">
        <v>37</v>
      </c>
      <c r="F34" t="s">
        <v>37</v>
      </c>
      <c r="G34" t="s">
        <v>37</v>
      </c>
      <c r="H34" t="s">
        <v>38</v>
      </c>
    </row>
    <row r="35" spans="1:8" x14ac:dyDescent="0.45">
      <c r="A35" t="s">
        <v>15</v>
      </c>
      <c r="B35">
        <v>12</v>
      </c>
      <c r="C35" t="s">
        <v>987</v>
      </c>
      <c r="D35">
        <v>37.380000000000003</v>
      </c>
      <c r="E35" t="s">
        <v>37</v>
      </c>
      <c r="F35" t="s">
        <v>37</v>
      </c>
      <c r="G35" t="s">
        <v>37</v>
      </c>
      <c r="H35" t="s">
        <v>38</v>
      </c>
    </row>
    <row r="36" spans="1:8" x14ac:dyDescent="0.45">
      <c r="A36" t="s">
        <v>15</v>
      </c>
      <c r="B36">
        <v>12</v>
      </c>
      <c r="C36" t="s">
        <v>988</v>
      </c>
      <c r="D36">
        <v>37.79</v>
      </c>
      <c r="E36" t="s">
        <v>37</v>
      </c>
      <c r="F36" t="s">
        <v>37</v>
      </c>
      <c r="G36" t="s">
        <v>37</v>
      </c>
      <c r="H36" t="s">
        <v>38</v>
      </c>
    </row>
    <row r="37" spans="1:8" x14ac:dyDescent="0.45">
      <c r="A37" t="s">
        <v>15</v>
      </c>
      <c r="B37">
        <v>12</v>
      </c>
      <c r="C37" t="s">
        <v>989</v>
      </c>
      <c r="D37" t="s">
        <v>9</v>
      </c>
      <c r="E37" t="s">
        <v>37</v>
      </c>
      <c r="F37" t="s">
        <v>37</v>
      </c>
      <c r="G37" t="s">
        <v>37</v>
      </c>
      <c r="H37" t="s">
        <v>38</v>
      </c>
    </row>
    <row r="38" spans="1:8" x14ac:dyDescent="0.45">
      <c r="A38" t="s">
        <v>15</v>
      </c>
      <c r="B38">
        <v>13</v>
      </c>
      <c r="C38" t="s">
        <v>990</v>
      </c>
      <c r="D38" t="s">
        <v>9</v>
      </c>
      <c r="E38" t="s">
        <v>37</v>
      </c>
      <c r="F38" t="s">
        <v>37</v>
      </c>
      <c r="G38" t="s">
        <v>37</v>
      </c>
      <c r="H38" t="s">
        <v>38</v>
      </c>
    </row>
    <row r="39" spans="1:8" x14ac:dyDescent="0.45">
      <c r="A39" t="s">
        <v>15</v>
      </c>
      <c r="B39">
        <v>13</v>
      </c>
      <c r="C39" t="s">
        <v>991</v>
      </c>
      <c r="D39" t="s">
        <v>9</v>
      </c>
      <c r="E39" t="s">
        <v>37</v>
      </c>
      <c r="F39" t="s">
        <v>37</v>
      </c>
      <c r="G39" t="s">
        <v>37</v>
      </c>
      <c r="H39" t="s">
        <v>38</v>
      </c>
    </row>
    <row r="40" spans="1:8" x14ac:dyDescent="0.45">
      <c r="A40" t="s">
        <v>15</v>
      </c>
      <c r="B40">
        <v>13</v>
      </c>
      <c r="C40" t="s">
        <v>992</v>
      </c>
      <c r="D40">
        <v>38.76</v>
      </c>
      <c r="E40" t="s">
        <v>37</v>
      </c>
      <c r="F40" t="s">
        <v>37</v>
      </c>
      <c r="G40" t="s">
        <v>37</v>
      </c>
      <c r="H40" t="s">
        <v>38</v>
      </c>
    </row>
    <row r="41" spans="1:8" x14ac:dyDescent="0.45">
      <c r="A41" t="s">
        <v>15</v>
      </c>
      <c r="B41">
        <v>14</v>
      </c>
      <c r="C41" t="s">
        <v>993</v>
      </c>
      <c r="D41" t="s">
        <v>9</v>
      </c>
      <c r="E41" t="s">
        <v>37</v>
      </c>
      <c r="F41" t="s">
        <v>37</v>
      </c>
      <c r="G41" t="s">
        <v>37</v>
      </c>
      <c r="H41" t="s">
        <v>38</v>
      </c>
    </row>
    <row r="42" spans="1:8" x14ac:dyDescent="0.45">
      <c r="A42" t="s">
        <v>15</v>
      </c>
      <c r="B42">
        <v>14</v>
      </c>
      <c r="C42" t="s">
        <v>994</v>
      </c>
      <c r="D42">
        <v>37.76</v>
      </c>
      <c r="E42" t="s">
        <v>37</v>
      </c>
      <c r="F42" t="s">
        <v>37</v>
      </c>
      <c r="G42" t="s">
        <v>37</v>
      </c>
      <c r="H42" t="s">
        <v>38</v>
      </c>
    </row>
    <row r="43" spans="1:8" x14ac:dyDescent="0.45">
      <c r="A43" t="s">
        <v>15</v>
      </c>
      <c r="B43">
        <v>14</v>
      </c>
      <c r="C43" t="s">
        <v>995</v>
      </c>
      <c r="D43" t="s">
        <v>9</v>
      </c>
      <c r="E43" t="s">
        <v>37</v>
      </c>
      <c r="F43" t="s">
        <v>37</v>
      </c>
      <c r="G43" t="s">
        <v>37</v>
      </c>
      <c r="H43" t="s">
        <v>38</v>
      </c>
    </row>
    <row r="44" spans="1:8" x14ac:dyDescent="0.45">
      <c r="A44" t="s">
        <v>15</v>
      </c>
      <c r="B44">
        <v>15</v>
      </c>
      <c r="C44" t="s">
        <v>996</v>
      </c>
      <c r="D44" t="s">
        <v>9</v>
      </c>
      <c r="E44" t="s">
        <v>37</v>
      </c>
      <c r="F44" t="s">
        <v>37</v>
      </c>
      <c r="G44" t="s">
        <v>37</v>
      </c>
      <c r="H44" t="s">
        <v>38</v>
      </c>
    </row>
    <row r="45" spans="1:8" x14ac:dyDescent="0.45">
      <c r="A45" t="s">
        <v>15</v>
      </c>
      <c r="B45">
        <v>15</v>
      </c>
      <c r="C45" t="s">
        <v>997</v>
      </c>
      <c r="D45" t="s">
        <v>9</v>
      </c>
      <c r="E45" t="s">
        <v>37</v>
      </c>
      <c r="F45" t="s">
        <v>37</v>
      </c>
      <c r="G45" t="s">
        <v>37</v>
      </c>
      <c r="H45" t="s">
        <v>38</v>
      </c>
    </row>
    <row r="46" spans="1:8" x14ac:dyDescent="0.45">
      <c r="A46" t="s">
        <v>15</v>
      </c>
      <c r="B46">
        <v>15</v>
      </c>
      <c r="C46" t="s">
        <v>998</v>
      </c>
      <c r="D46" t="s">
        <v>9</v>
      </c>
      <c r="E46" t="s">
        <v>37</v>
      </c>
      <c r="F46" t="s">
        <v>37</v>
      </c>
      <c r="G46" t="s">
        <v>37</v>
      </c>
      <c r="H46" t="s">
        <v>38</v>
      </c>
    </row>
    <row r="47" spans="1:8" x14ac:dyDescent="0.45">
      <c r="A47" t="s">
        <v>15</v>
      </c>
      <c r="B47">
        <v>16</v>
      </c>
      <c r="C47" t="s">
        <v>999</v>
      </c>
      <c r="D47">
        <v>37.94</v>
      </c>
      <c r="E47" t="s">
        <v>37</v>
      </c>
      <c r="F47" t="s">
        <v>37</v>
      </c>
      <c r="G47" t="s">
        <v>37</v>
      </c>
      <c r="H47" t="s">
        <v>38</v>
      </c>
    </row>
    <row r="48" spans="1:8" x14ac:dyDescent="0.45">
      <c r="A48" t="s">
        <v>15</v>
      </c>
      <c r="B48">
        <v>16</v>
      </c>
      <c r="C48" t="s">
        <v>1000</v>
      </c>
      <c r="D48">
        <v>37.700000000000003</v>
      </c>
      <c r="E48" t="s">
        <v>37</v>
      </c>
      <c r="F48" t="s">
        <v>37</v>
      </c>
      <c r="G48" t="s">
        <v>37</v>
      </c>
      <c r="H48" t="s">
        <v>38</v>
      </c>
    </row>
    <row r="49" spans="1:8" x14ac:dyDescent="0.45">
      <c r="A49" t="s">
        <v>15</v>
      </c>
      <c r="B49">
        <v>16</v>
      </c>
      <c r="C49" t="s">
        <v>1001</v>
      </c>
      <c r="D49">
        <v>37.76</v>
      </c>
      <c r="E49" t="s">
        <v>37</v>
      </c>
      <c r="F49" t="s">
        <v>37</v>
      </c>
      <c r="G49" t="s">
        <v>37</v>
      </c>
      <c r="H49" t="s">
        <v>38</v>
      </c>
    </row>
    <row r="50" spans="1:8" x14ac:dyDescent="0.45">
      <c r="A50" t="s">
        <v>15</v>
      </c>
      <c r="B50">
        <v>17</v>
      </c>
      <c r="C50" t="s">
        <v>1002</v>
      </c>
      <c r="D50" t="s">
        <v>9</v>
      </c>
      <c r="E50" t="s">
        <v>37</v>
      </c>
      <c r="F50" t="s">
        <v>37</v>
      </c>
      <c r="G50" t="s">
        <v>37</v>
      </c>
      <c r="H50" t="s">
        <v>38</v>
      </c>
    </row>
    <row r="51" spans="1:8" x14ac:dyDescent="0.45">
      <c r="A51" t="s">
        <v>15</v>
      </c>
      <c r="B51">
        <v>17</v>
      </c>
      <c r="C51" t="s">
        <v>1003</v>
      </c>
      <c r="D51" t="s">
        <v>9</v>
      </c>
      <c r="E51" t="s">
        <v>37</v>
      </c>
      <c r="F51" t="s">
        <v>37</v>
      </c>
      <c r="G51" t="s">
        <v>37</v>
      </c>
      <c r="H51" t="s">
        <v>38</v>
      </c>
    </row>
    <row r="52" spans="1:8" x14ac:dyDescent="0.45">
      <c r="A52" t="s">
        <v>15</v>
      </c>
      <c r="B52">
        <v>17</v>
      </c>
      <c r="C52" t="s">
        <v>1004</v>
      </c>
      <c r="D52">
        <v>37.619999999999997</v>
      </c>
      <c r="E52" t="s">
        <v>37</v>
      </c>
      <c r="F52" t="s">
        <v>37</v>
      </c>
      <c r="G52" t="s">
        <v>37</v>
      </c>
      <c r="H52" t="s">
        <v>38</v>
      </c>
    </row>
    <row r="53" spans="1:8" x14ac:dyDescent="0.45">
      <c r="A53" t="s">
        <v>15</v>
      </c>
      <c r="B53">
        <v>18</v>
      </c>
      <c r="C53" t="s">
        <v>1005</v>
      </c>
      <c r="D53" t="s">
        <v>9</v>
      </c>
      <c r="E53" t="s">
        <v>37</v>
      </c>
      <c r="F53" t="s">
        <v>37</v>
      </c>
      <c r="G53" t="s">
        <v>37</v>
      </c>
      <c r="H53" t="s">
        <v>38</v>
      </c>
    </row>
    <row r="54" spans="1:8" x14ac:dyDescent="0.45">
      <c r="A54" t="s">
        <v>15</v>
      </c>
      <c r="B54">
        <v>18</v>
      </c>
      <c r="C54" t="s">
        <v>1006</v>
      </c>
      <c r="D54">
        <v>38.299999999999997</v>
      </c>
      <c r="E54" t="s">
        <v>37</v>
      </c>
      <c r="F54" t="s">
        <v>37</v>
      </c>
      <c r="G54" t="s">
        <v>37</v>
      </c>
      <c r="H54" t="s">
        <v>38</v>
      </c>
    </row>
    <row r="55" spans="1:8" x14ac:dyDescent="0.45">
      <c r="A55" t="s">
        <v>15</v>
      </c>
      <c r="B55">
        <v>18</v>
      </c>
      <c r="C55" t="s">
        <v>1007</v>
      </c>
      <c r="D55">
        <v>36.43</v>
      </c>
      <c r="E55" t="s">
        <v>37</v>
      </c>
      <c r="F55" t="s">
        <v>37</v>
      </c>
      <c r="G55" t="s">
        <v>37</v>
      </c>
      <c r="H55" t="s">
        <v>38</v>
      </c>
    </row>
    <row r="56" spans="1:8" x14ac:dyDescent="0.45">
      <c r="A56" t="s">
        <v>15</v>
      </c>
      <c r="B56">
        <v>19</v>
      </c>
      <c r="C56" t="s">
        <v>1008</v>
      </c>
      <c r="D56">
        <v>37.39</v>
      </c>
      <c r="E56" t="s">
        <v>37</v>
      </c>
      <c r="F56" t="s">
        <v>37</v>
      </c>
      <c r="G56" t="s">
        <v>37</v>
      </c>
      <c r="H56" t="s">
        <v>38</v>
      </c>
    </row>
    <row r="57" spans="1:8" x14ac:dyDescent="0.45">
      <c r="A57" t="s">
        <v>15</v>
      </c>
      <c r="B57">
        <v>19</v>
      </c>
      <c r="C57" t="s">
        <v>1009</v>
      </c>
      <c r="D57" t="s">
        <v>9</v>
      </c>
      <c r="E57" t="s">
        <v>37</v>
      </c>
      <c r="F57" t="s">
        <v>37</v>
      </c>
      <c r="G57" t="s">
        <v>37</v>
      </c>
      <c r="H57" t="s">
        <v>38</v>
      </c>
    </row>
    <row r="58" spans="1:8" x14ac:dyDescent="0.45">
      <c r="A58" t="s">
        <v>15</v>
      </c>
      <c r="B58">
        <v>19</v>
      </c>
      <c r="C58" t="s">
        <v>1010</v>
      </c>
      <c r="D58" t="s">
        <v>9</v>
      </c>
      <c r="E58" t="s">
        <v>37</v>
      </c>
      <c r="F58" t="s">
        <v>37</v>
      </c>
      <c r="G58" t="s">
        <v>37</v>
      </c>
      <c r="H58" t="s">
        <v>38</v>
      </c>
    </row>
    <row r="59" spans="1:8" x14ac:dyDescent="0.45">
      <c r="A59" t="s">
        <v>15</v>
      </c>
      <c r="B59">
        <v>20</v>
      </c>
      <c r="C59" t="s">
        <v>1011</v>
      </c>
      <c r="D59">
        <v>36.94</v>
      </c>
      <c r="E59" t="s">
        <v>37</v>
      </c>
      <c r="F59" t="s">
        <v>37</v>
      </c>
      <c r="G59" t="s">
        <v>37</v>
      </c>
      <c r="H59" t="s">
        <v>38</v>
      </c>
    </row>
    <row r="60" spans="1:8" x14ac:dyDescent="0.45">
      <c r="A60" t="s">
        <v>15</v>
      </c>
      <c r="B60">
        <v>20</v>
      </c>
      <c r="C60" t="s">
        <v>1012</v>
      </c>
      <c r="D60">
        <v>37.76</v>
      </c>
      <c r="E60" t="s">
        <v>37</v>
      </c>
      <c r="F60" t="s">
        <v>37</v>
      </c>
      <c r="G60" t="s">
        <v>37</v>
      </c>
      <c r="H60" t="s">
        <v>38</v>
      </c>
    </row>
    <row r="61" spans="1:8" x14ac:dyDescent="0.45">
      <c r="A61" t="s">
        <v>15</v>
      </c>
      <c r="B61">
        <v>20</v>
      </c>
      <c r="C61" t="s">
        <v>1013</v>
      </c>
      <c r="D61">
        <v>36.42</v>
      </c>
      <c r="E61" t="s">
        <v>37</v>
      </c>
      <c r="F61" t="s">
        <v>37</v>
      </c>
      <c r="G61" t="s">
        <v>37</v>
      </c>
      <c r="H61" t="s">
        <v>38</v>
      </c>
    </row>
    <row r="62" spans="1:8" x14ac:dyDescent="0.45">
      <c r="A62" t="s">
        <v>15</v>
      </c>
      <c r="B62">
        <v>21</v>
      </c>
      <c r="C62" t="s">
        <v>1014</v>
      </c>
      <c r="D62">
        <v>37.340000000000003</v>
      </c>
      <c r="E62" t="s">
        <v>37</v>
      </c>
      <c r="F62" t="s">
        <v>37</v>
      </c>
      <c r="G62" t="s">
        <v>37</v>
      </c>
      <c r="H62" t="s">
        <v>38</v>
      </c>
    </row>
    <row r="63" spans="1:8" x14ac:dyDescent="0.45">
      <c r="A63" t="s">
        <v>15</v>
      </c>
      <c r="B63">
        <v>21</v>
      </c>
      <c r="C63" t="s">
        <v>1015</v>
      </c>
      <c r="D63" t="s">
        <v>9</v>
      </c>
      <c r="E63" t="s">
        <v>37</v>
      </c>
      <c r="F63" t="s">
        <v>37</v>
      </c>
      <c r="G63" t="s">
        <v>37</v>
      </c>
      <c r="H63" t="s">
        <v>38</v>
      </c>
    </row>
    <row r="64" spans="1:8" x14ac:dyDescent="0.45">
      <c r="A64" t="s">
        <v>15</v>
      </c>
      <c r="B64">
        <v>21</v>
      </c>
      <c r="C64" t="s">
        <v>1016</v>
      </c>
      <c r="D64">
        <v>38.18</v>
      </c>
      <c r="E64" t="s">
        <v>37</v>
      </c>
      <c r="F64" t="s">
        <v>37</v>
      </c>
      <c r="G64" t="s">
        <v>37</v>
      </c>
      <c r="H64" t="s">
        <v>38</v>
      </c>
    </row>
    <row r="65" spans="1:8" x14ac:dyDescent="0.45">
      <c r="A65" t="s">
        <v>15</v>
      </c>
      <c r="B65">
        <v>22</v>
      </c>
      <c r="C65" t="s">
        <v>1017</v>
      </c>
      <c r="D65">
        <v>37.950000000000003</v>
      </c>
      <c r="E65" t="s">
        <v>37</v>
      </c>
      <c r="F65" t="s">
        <v>37</v>
      </c>
      <c r="G65" t="s">
        <v>37</v>
      </c>
      <c r="H65" t="s">
        <v>38</v>
      </c>
    </row>
    <row r="66" spans="1:8" x14ac:dyDescent="0.45">
      <c r="A66" t="s">
        <v>15</v>
      </c>
      <c r="B66">
        <v>22</v>
      </c>
      <c r="C66" t="s">
        <v>1018</v>
      </c>
      <c r="D66">
        <v>37.74</v>
      </c>
      <c r="E66" t="s">
        <v>37</v>
      </c>
      <c r="F66" t="s">
        <v>37</v>
      </c>
      <c r="G66" t="s">
        <v>37</v>
      </c>
      <c r="H66" t="s">
        <v>38</v>
      </c>
    </row>
    <row r="67" spans="1:8" x14ac:dyDescent="0.45">
      <c r="A67" t="s">
        <v>15</v>
      </c>
      <c r="B67">
        <v>22</v>
      </c>
      <c r="C67" t="s">
        <v>1019</v>
      </c>
      <c r="D67" t="s">
        <v>9</v>
      </c>
      <c r="E67" t="s">
        <v>37</v>
      </c>
      <c r="F67" t="s">
        <v>37</v>
      </c>
      <c r="G67" t="s">
        <v>37</v>
      </c>
      <c r="H67" t="s">
        <v>38</v>
      </c>
    </row>
    <row r="68" spans="1:8" x14ac:dyDescent="0.45">
      <c r="A68" t="s">
        <v>15</v>
      </c>
      <c r="B68">
        <v>23</v>
      </c>
      <c r="C68" t="s">
        <v>1020</v>
      </c>
      <c r="D68">
        <v>38.36</v>
      </c>
      <c r="E68" t="s">
        <v>37</v>
      </c>
      <c r="F68" t="s">
        <v>37</v>
      </c>
      <c r="G68" t="s">
        <v>37</v>
      </c>
      <c r="H68" t="s">
        <v>38</v>
      </c>
    </row>
    <row r="69" spans="1:8" x14ac:dyDescent="0.45">
      <c r="A69" t="s">
        <v>15</v>
      </c>
      <c r="B69">
        <v>23</v>
      </c>
      <c r="C69" t="s">
        <v>1021</v>
      </c>
      <c r="D69">
        <v>37.479999999999997</v>
      </c>
      <c r="E69" t="s">
        <v>37</v>
      </c>
      <c r="F69" t="s">
        <v>37</v>
      </c>
      <c r="G69" t="s">
        <v>37</v>
      </c>
      <c r="H69" t="s">
        <v>38</v>
      </c>
    </row>
    <row r="70" spans="1:8" x14ac:dyDescent="0.45">
      <c r="A70" t="s">
        <v>15</v>
      </c>
      <c r="B70">
        <v>23</v>
      </c>
      <c r="C70" t="s">
        <v>1022</v>
      </c>
      <c r="D70">
        <v>37.89</v>
      </c>
      <c r="E70" t="s">
        <v>37</v>
      </c>
      <c r="F70" t="s">
        <v>37</v>
      </c>
      <c r="G70" t="s">
        <v>37</v>
      </c>
      <c r="H70" t="s">
        <v>38</v>
      </c>
    </row>
    <row r="71" spans="1:8" x14ac:dyDescent="0.45">
      <c r="A71" t="s">
        <v>15</v>
      </c>
      <c r="B71">
        <v>24</v>
      </c>
      <c r="C71" t="s">
        <v>1023</v>
      </c>
      <c r="D71" t="s">
        <v>9</v>
      </c>
      <c r="E71" t="s">
        <v>37</v>
      </c>
      <c r="F71" t="s">
        <v>37</v>
      </c>
      <c r="G71" t="s">
        <v>37</v>
      </c>
      <c r="H71" t="s">
        <v>38</v>
      </c>
    </row>
    <row r="72" spans="1:8" x14ac:dyDescent="0.45">
      <c r="A72" t="s">
        <v>15</v>
      </c>
      <c r="B72">
        <v>24</v>
      </c>
      <c r="C72" t="s">
        <v>1024</v>
      </c>
      <c r="D72" t="s">
        <v>9</v>
      </c>
      <c r="E72" t="s">
        <v>37</v>
      </c>
      <c r="F72" t="s">
        <v>37</v>
      </c>
      <c r="G72" t="s">
        <v>37</v>
      </c>
      <c r="H72" t="s">
        <v>38</v>
      </c>
    </row>
    <row r="73" spans="1:8" x14ac:dyDescent="0.45">
      <c r="A73" t="s">
        <v>15</v>
      </c>
      <c r="B73">
        <v>24</v>
      </c>
      <c r="C73" t="s">
        <v>1025</v>
      </c>
      <c r="D73">
        <v>39.18</v>
      </c>
      <c r="E73" t="s">
        <v>37</v>
      </c>
      <c r="F73" t="s">
        <v>37</v>
      </c>
      <c r="G73" t="s">
        <v>37</v>
      </c>
      <c r="H73" t="s">
        <v>38</v>
      </c>
    </row>
    <row r="74" spans="1:8" x14ac:dyDescent="0.45">
      <c r="A74" t="s">
        <v>15</v>
      </c>
      <c r="B74">
        <v>25</v>
      </c>
      <c r="C74" t="s">
        <v>1026</v>
      </c>
      <c r="D74">
        <v>36.61</v>
      </c>
      <c r="E74" t="s">
        <v>37</v>
      </c>
      <c r="F74" t="s">
        <v>37</v>
      </c>
      <c r="G74" t="s">
        <v>37</v>
      </c>
      <c r="H74" t="s">
        <v>38</v>
      </c>
    </row>
    <row r="75" spans="1:8" x14ac:dyDescent="0.45">
      <c r="A75" t="s">
        <v>15</v>
      </c>
      <c r="B75">
        <v>25</v>
      </c>
      <c r="C75" t="s">
        <v>1027</v>
      </c>
      <c r="D75">
        <v>36.25</v>
      </c>
      <c r="E75" t="s">
        <v>37</v>
      </c>
      <c r="F75" t="s">
        <v>37</v>
      </c>
      <c r="G75" t="s">
        <v>37</v>
      </c>
      <c r="H75" t="s">
        <v>38</v>
      </c>
    </row>
    <row r="76" spans="1:8" x14ac:dyDescent="0.45">
      <c r="A76" t="s">
        <v>15</v>
      </c>
      <c r="B76">
        <v>25</v>
      </c>
      <c r="C76" t="s">
        <v>1028</v>
      </c>
      <c r="D76">
        <v>35.409999999999997</v>
      </c>
      <c r="E76" t="s">
        <v>37</v>
      </c>
      <c r="F76" t="s">
        <v>37</v>
      </c>
      <c r="G76" t="s">
        <v>37</v>
      </c>
      <c r="H76" t="s">
        <v>38</v>
      </c>
    </row>
    <row r="77" spans="1:8" x14ac:dyDescent="0.45">
      <c r="A77" t="s">
        <v>15</v>
      </c>
      <c r="B77">
        <v>26</v>
      </c>
      <c r="C77" t="s">
        <v>1029</v>
      </c>
      <c r="D77">
        <v>37.270000000000003</v>
      </c>
      <c r="E77" t="s">
        <v>37</v>
      </c>
      <c r="F77" t="s">
        <v>37</v>
      </c>
      <c r="G77" t="s">
        <v>37</v>
      </c>
      <c r="H77" t="s">
        <v>38</v>
      </c>
    </row>
    <row r="78" spans="1:8" x14ac:dyDescent="0.45">
      <c r="A78" t="s">
        <v>15</v>
      </c>
      <c r="B78">
        <v>26</v>
      </c>
      <c r="C78" t="s">
        <v>1030</v>
      </c>
      <c r="D78">
        <v>38.61</v>
      </c>
      <c r="E78" t="s">
        <v>37</v>
      </c>
      <c r="F78" t="s">
        <v>37</v>
      </c>
      <c r="G78" t="s">
        <v>37</v>
      </c>
      <c r="H78" t="s">
        <v>38</v>
      </c>
    </row>
    <row r="79" spans="1:8" x14ac:dyDescent="0.45">
      <c r="A79" t="s">
        <v>15</v>
      </c>
      <c r="B79">
        <v>26</v>
      </c>
      <c r="C79" t="s">
        <v>1031</v>
      </c>
      <c r="D79" t="s">
        <v>9</v>
      </c>
      <c r="E79" t="s">
        <v>37</v>
      </c>
      <c r="F79" t="s">
        <v>37</v>
      </c>
      <c r="G79" t="s">
        <v>37</v>
      </c>
      <c r="H79" t="s">
        <v>38</v>
      </c>
    </row>
    <row r="80" spans="1:8" x14ac:dyDescent="0.45">
      <c r="A80" t="s">
        <v>15</v>
      </c>
      <c r="B80">
        <v>27</v>
      </c>
      <c r="C80" t="s">
        <v>1032</v>
      </c>
      <c r="D80" t="s">
        <v>9</v>
      </c>
      <c r="E80" t="s">
        <v>37</v>
      </c>
      <c r="F80" t="s">
        <v>37</v>
      </c>
      <c r="G80" t="s">
        <v>37</v>
      </c>
      <c r="H80" t="s">
        <v>38</v>
      </c>
    </row>
    <row r="81" spans="1:8" x14ac:dyDescent="0.45">
      <c r="A81" t="s">
        <v>15</v>
      </c>
      <c r="B81">
        <v>27</v>
      </c>
      <c r="C81" t="s">
        <v>1033</v>
      </c>
      <c r="D81" t="s">
        <v>9</v>
      </c>
      <c r="E81" t="s">
        <v>37</v>
      </c>
      <c r="F81" t="s">
        <v>37</v>
      </c>
      <c r="G81" t="s">
        <v>37</v>
      </c>
      <c r="H81" t="s">
        <v>38</v>
      </c>
    </row>
    <row r="82" spans="1:8" x14ac:dyDescent="0.45">
      <c r="A82" t="s">
        <v>15</v>
      </c>
      <c r="B82">
        <v>27</v>
      </c>
      <c r="C82" t="s">
        <v>1034</v>
      </c>
      <c r="D82" t="s">
        <v>9</v>
      </c>
      <c r="E82" t="s">
        <v>37</v>
      </c>
      <c r="F82" t="s">
        <v>37</v>
      </c>
      <c r="G82" t="s">
        <v>37</v>
      </c>
      <c r="H82" t="s">
        <v>38</v>
      </c>
    </row>
    <row r="83" spans="1:8" x14ac:dyDescent="0.45">
      <c r="A83" t="s">
        <v>15</v>
      </c>
      <c r="B83">
        <v>28</v>
      </c>
      <c r="C83" t="s">
        <v>1035</v>
      </c>
      <c r="D83">
        <v>35.67</v>
      </c>
      <c r="E83" t="s">
        <v>37</v>
      </c>
      <c r="F83" t="s">
        <v>37</v>
      </c>
      <c r="G83" t="s">
        <v>37</v>
      </c>
      <c r="H83" t="s">
        <v>38</v>
      </c>
    </row>
    <row r="84" spans="1:8" x14ac:dyDescent="0.45">
      <c r="A84" t="s">
        <v>15</v>
      </c>
      <c r="B84">
        <v>28</v>
      </c>
      <c r="C84" t="s">
        <v>1036</v>
      </c>
      <c r="D84">
        <v>36.68</v>
      </c>
      <c r="E84" t="s">
        <v>37</v>
      </c>
      <c r="F84" t="s">
        <v>37</v>
      </c>
      <c r="G84" t="s">
        <v>37</v>
      </c>
      <c r="H84" t="s">
        <v>38</v>
      </c>
    </row>
    <row r="85" spans="1:8" x14ac:dyDescent="0.45">
      <c r="A85" t="s">
        <v>15</v>
      </c>
      <c r="B85">
        <v>28</v>
      </c>
      <c r="C85" t="s">
        <v>1037</v>
      </c>
      <c r="D85">
        <v>35.67</v>
      </c>
      <c r="E85" t="s">
        <v>37</v>
      </c>
      <c r="F85" t="s">
        <v>37</v>
      </c>
      <c r="G85" t="s">
        <v>37</v>
      </c>
      <c r="H85" t="s">
        <v>38</v>
      </c>
    </row>
    <row r="86" spans="1:8" x14ac:dyDescent="0.45">
      <c r="A86" t="s">
        <v>15</v>
      </c>
      <c r="B86">
        <v>29</v>
      </c>
      <c r="C86" t="s">
        <v>1038</v>
      </c>
      <c r="D86">
        <v>36.6</v>
      </c>
      <c r="E86" t="s">
        <v>37</v>
      </c>
      <c r="F86" t="s">
        <v>37</v>
      </c>
      <c r="G86" t="s">
        <v>37</v>
      </c>
      <c r="H86" t="s">
        <v>38</v>
      </c>
    </row>
    <row r="87" spans="1:8" x14ac:dyDescent="0.45">
      <c r="A87" t="s">
        <v>15</v>
      </c>
      <c r="B87">
        <v>29</v>
      </c>
      <c r="C87" t="s">
        <v>806</v>
      </c>
      <c r="D87">
        <v>37.04</v>
      </c>
      <c r="E87" t="s">
        <v>37</v>
      </c>
      <c r="F87" t="s">
        <v>37</v>
      </c>
      <c r="G87" t="s">
        <v>37</v>
      </c>
      <c r="H87" t="s">
        <v>38</v>
      </c>
    </row>
    <row r="88" spans="1:8" x14ac:dyDescent="0.45">
      <c r="A88" t="s">
        <v>15</v>
      </c>
      <c r="B88">
        <v>29</v>
      </c>
      <c r="C88" t="s">
        <v>807</v>
      </c>
      <c r="D88">
        <v>38.18</v>
      </c>
      <c r="E88" t="s">
        <v>37</v>
      </c>
      <c r="F88" t="s">
        <v>37</v>
      </c>
      <c r="G88" t="s">
        <v>37</v>
      </c>
      <c r="H88" t="s">
        <v>38</v>
      </c>
    </row>
    <row r="89" spans="1:8" x14ac:dyDescent="0.45">
      <c r="A89" t="s">
        <v>7</v>
      </c>
      <c r="B89" t="s">
        <v>156</v>
      </c>
      <c r="C89" t="s">
        <v>7</v>
      </c>
      <c r="D89" t="s">
        <v>9</v>
      </c>
      <c r="E89" t="s">
        <v>37</v>
      </c>
      <c r="F89" t="s">
        <v>37</v>
      </c>
      <c r="G89" t="s">
        <v>37</v>
      </c>
      <c r="H89" t="s">
        <v>38</v>
      </c>
    </row>
    <row r="90" spans="1:8" x14ac:dyDescent="0.45">
      <c r="A90" t="s">
        <v>7</v>
      </c>
      <c r="B90" t="s">
        <v>156</v>
      </c>
      <c r="C90" t="s">
        <v>7</v>
      </c>
      <c r="D90" t="s">
        <v>9</v>
      </c>
      <c r="E90" t="s">
        <v>37</v>
      </c>
      <c r="F90" t="s">
        <v>37</v>
      </c>
      <c r="G90" t="s">
        <v>37</v>
      </c>
      <c r="H90" t="s">
        <v>38</v>
      </c>
    </row>
    <row r="91" spans="1:8" x14ac:dyDescent="0.45">
      <c r="A91" t="s">
        <v>7</v>
      </c>
      <c r="B91" t="s">
        <v>156</v>
      </c>
      <c r="C91" t="s">
        <v>7</v>
      </c>
      <c r="D91" t="s">
        <v>9</v>
      </c>
      <c r="E91" t="s">
        <v>37</v>
      </c>
      <c r="F91" t="s">
        <v>37</v>
      </c>
      <c r="G91" t="s">
        <v>37</v>
      </c>
      <c r="H91" t="s">
        <v>38</v>
      </c>
    </row>
    <row r="92" spans="1:8" x14ac:dyDescent="0.45">
      <c r="A92" t="s">
        <v>11</v>
      </c>
      <c r="B92" t="s">
        <v>43</v>
      </c>
      <c r="C92" t="s">
        <v>1253</v>
      </c>
      <c r="D92">
        <v>18.760000000000002</v>
      </c>
      <c r="E92" t="s">
        <v>42</v>
      </c>
      <c r="F92" t="s">
        <v>37</v>
      </c>
      <c r="G92" t="s">
        <v>37</v>
      </c>
      <c r="H92" t="s">
        <v>38</v>
      </c>
    </row>
    <row r="93" spans="1:8" x14ac:dyDescent="0.45">
      <c r="A93" t="s">
        <v>11</v>
      </c>
      <c r="B93" t="s">
        <v>43</v>
      </c>
      <c r="C93" t="s">
        <v>1253</v>
      </c>
      <c r="D93">
        <v>18.559999999999999</v>
      </c>
      <c r="E93" t="s">
        <v>42</v>
      </c>
      <c r="F93" t="s">
        <v>37</v>
      </c>
      <c r="G93" t="s">
        <v>37</v>
      </c>
      <c r="H93" t="s">
        <v>38</v>
      </c>
    </row>
    <row r="94" spans="1:8" x14ac:dyDescent="0.45">
      <c r="A94" t="s">
        <v>11</v>
      </c>
      <c r="B94" t="s">
        <v>43</v>
      </c>
      <c r="C94" t="s">
        <v>1253</v>
      </c>
      <c r="D94">
        <v>18.760000000000002</v>
      </c>
      <c r="E94" t="s">
        <v>42</v>
      </c>
      <c r="F94" t="s">
        <v>37</v>
      </c>
      <c r="G94" t="s">
        <v>37</v>
      </c>
      <c r="H94" t="s">
        <v>38</v>
      </c>
    </row>
    <row r="95" spans="1:8" x14ac:dyDescent="0.45">
      <c r="A95" t="s">
        <v>11</v>
      </c>
      <c r="B95" t="s">
        <v>1248</v>
      </c>
      <c r="C95" t="s">
        <v>1254</v>
      </c>
      <c r="D95">
        <v>37.950000000000003</v>
      </c>
      <c r="E95" t="s">
        <v>42</v>
      </c>
      <c r="F95" t="s">
        <v>37</v>
      </c>
      <c r="G95" t="s">
        <v>37</v>
      </c>
      <c r="H95" t="s">
        <v>38</v>
      </c>
    </row>
    <row r="96" spans="1:8" x14ac:dyDescent="0.45">
      <c r="A96" t="s">
        <v>11</v>
      </c>
      <c r="B96" t="s">
        <v>1248</v>
      </c>
      <c r="C96" t="s">
        <v>1254</v>
      </c>
      <c r="D96">
        <v>37.799999999999997</v>
      </c>
      <c r="E96" t="s">
        <v>42</v>
      </c>
      <c r="F96" t="s">
        <v>37</v>
      </c>
      <c r="G96" t="s">
        <v>37</v>
      </c>
      <c r="H96" t="s">
        <v>38</v>
      </c>
    </row>
    <row r="97" spans="1:8" x14ac:dyDescent="0.45">
      <c r="A97" t="s">
        <v>11</v>
      </c>
      <c r="B97" t="s">
        <v>1248</v>
      </c>
      <c r="C97" t="s">
        <v>1254</v>
      </c>
      <c r="D97" t="s">
        <v>9</v>
      </c>
      <c r="E97" t="s">
        <v>147</v>
      </c>
      <c r="F97" t="s">
        <v>37</v>
      </c>
      <c r="G97" t="s">
        <v>37</v>
      </c>
      <c r="H97" t="s">
        <v>38</v>
      </c>
    </row>
  </sheetData>
  <sortState xmlns:xlrd2="http://schemas.microsoft.com/office/spreadsheetml/2017/richdata2" ref="A2:H97">
    <sortCondition ref="B2:B97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E014C-DE38-4B9C-9B03-CEA12681590F}">
  <dimension ref="A1:H97"/>
  <sheetViews>
    <sheetView topLeftCell="A85" zoomScale="145" zoomScaleNormal="145" workbookViewId="0">
      <selection activeCell="D23" sqref="D23"/>
    </sheetView>
  </sheetViews>
  <sheetFormatPr defaultRowHeight="14.25" x14ac:dyDescent="0.45"/>
  <sheetData>
    <row r="1" spans="1:8" x14ac:dyDescent="0.45">
      <c r="A1" t="s">
        <v>1225</v>
      </c>
      <c r="B1" t="s">
        <v>1226</v>
      </c>
      <c r="C1" t="s">
        <v>756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</row>
    <row r="2" spans="1:8" x14ac:dyDescent="0.45">
      <c r="A2" t="s">
        <v>15</v>
      </c>
      <c r="B2">
        <v>1</v>
      </c>
      <c r="C2" t="s">
        <v>1039</v>
      </c>
      <c r="D2" t="s">
        <v>9</v>
      </c>
      <c r="E2" t="s">
        <v>37</v>
      </c>
      <c r="F2" t="s">
        <v>37</v>
      </c>
      <c r="G2" t="s">
        <v>38</v>
      </c>
    </row>
    <row r="3" spans="1:8" x14ac:dyDescent="0.45">
      <c r="A3" t="s">
        <v>15</v>
      </c>
      <c r="B3">
        <v>1</v>
      </c>
      <c r="C3" t="s">
        <v>1040</v>
      </c>
      <c r="D3" t="s">
        <v>9</v>
      </c>
      <c r="E3" t="s">
        <v>37</v>
      </c>
      <c r="F3" t="s">
        <v>37</v>
      </c>
      <c r="G3" t="s">
        <v>38</v>
      </c>
    </row>
    <row r="4" spans="1:8" x14ac:dyDescent="0.45">
      <c r="A4" t="s">
        <v>15</v>
      </c>
      <c r="B4">
        <v>1</v>
      </c>
      <c r="C4" t="s">
        <v>1041</v>
      </c>
      <c r="D4" t="s">
        <v>9</v>
      </c>
      <c r="E4" t="s">
        <v>37</v>
      </c>
      <c r="F4" t="s">
        <v>37</v>
      </c>
      <c r="G4" t="s">
        <v>38</v>
      </c>
    </row>
    <row r="5" spans="1:8" x14ac:dyDescent="0.45">
      <c r="A5" t="s">
        <v>15</v>
      </c>
      <c r="B5">
        <v>2</v>
      </c>
      <c r="C5" t="s">
        <v>1042</v>
      </c>
      <c r="D5" t="s">
        <v>9</v>
      </c>
      <c r="E5" t="s">
        <v>37</v>
      </c>
      <c r="F5" t="s">
        <v>37</v>
      </c>
      <c r="G5" t="s">
        <v>38</v>
      </c>
    </row>
    <row r="6" spans="1:8" x14ac:dyDescent="0.45">
      <c r="A6" t="s">
        <v>15</v>
      </c>
      <c r="B6">
        <v>2</v>
      </c>
      <c r="C6" t="s">
        <v>1043</v>
      </c>
      <c r="D6" t="s">
        <v>9</v>
      </c>
      <c r="E6" t="s">
        <v>37</v>
      </c>
      <c r="F6" t="s">
        <v>37</v>
      </c>
      <c r="G6" t="s">
        <v>38</v>
      </c>
    </row>
    <row r="7" spans="1:8" x14ac:dyDescent="0.45">
      <c r="A7" t="s">
        <v>15</v>
      </c>
      <c r="B7">
        <v>2</v>
      </c>
      <c r="C7" t="s">
        <v>1044</v>
      </c>
      <c r="D7">
        <v>37.729999999999997</v>
      </c>
      <c r="E7" t="s">
        <v>37</v>
      </c>
      <c r="F7" t="s">
        <v>37</v>
      </c>
      <c r="G7" t="s">
        <v>38</v>
      </c>
    </row>
    <row r="8" spans="1:8" x14ac:dyDescent="0.45">
      <c r="A8" t="s">
        <v>15</v>
      </c>
      <c r="B8">
        <v>3</v>
      </c>
      <c r="C8" t="s">
        <v>1045</v>
      </c>
      <c r="D8" t="s">
        <v>9</v>
      </c>
      <c r="E8" t="s">
        <v>37</v>
      </c>
      <c r="F8" t="s">
        <v>37</v>
      </c>
      <c r="G8" t="s">
        <v>38</v>
      </c>
    </row>
    <row r="9" spans="1:8" x14ac:dyDescent="0.45">
      <c r="A9" t="s">
        <v>15</v>
      </c>
      <c r="B9">
        <v>3</v>
      </c>
      <c r="C9" t="s">
        <v>1046</v>
      </c>
      <c r="D9" t="s">
        <v>9</v>
      </c>
      <c r="E9" t="s">
        <v>37</v>
      </c>
      <c r="F9" t="s">
        <v>37</v>
      </c>
      <c r="G9" t="s">
        <v>38</v>
      </c>
    </row>
    <row r="10" spans="1:8" x14ac:dyDescent="0.45">
      <c r="A10" t="s">
        <v>15</v>
      </c>
      <c r="B10">
        <v>3</v>
      </c>
      <c r="C10" t="s">
        <v>1047</v>
      </c>
      <c r="D10" t="s">
        <v>9</v>
      </c>
      <c r="E10" t="s">
        <v>37</v>
      </c>
      <c r="F10" t="s">
        <v>37</v>
      </c>
      <c r="G10" t="s">
        <v>38</v>
      </c>
    </row>
    <row r="11" spans="1:8" x14ac:dyDescent="0.45">
      <c r="A11" t="s">
        <v>15</v>
      </c>
      <c r="B11">
        <v>4</v>
      </c>
      <c r="C11" t="s">
        <v>1048</v>
      </c>
      <c r="D11" t="s">
        <v>9</v>
      </c>
      <c r="E11" t="s">
        <v>37</v>
      </c>
      <c r="F11" t="s">
        <v>37</v>
      </c>
      <c r="G11" t="s">
        <v>38</v>
      </c>
    </row>
    <row r="12" spans="1:8" x14ac:dyDescent="0.45">
      <c r="A12" t="s">
        <v>15</v>
      </c>
      <c r="B12">
        <v>4</v>
      </c>
      <c r="C12" t="s">
        <v>1049</v>
      </c>
      <c r="D12" t="s">
        <v>9</v>
      </c>
      <c r="E12" t="s">
        <v>37</v>
      </c>
      <c r="F12" t="s">
        <v>37</v>
      </c>
      <c r="G12" t="s">
        <v>38</v>
      </c>
    </row>
    <row r="13" spans="1:8" x14ac:dyDescent="0.45">
      <c r="A13" t="s">
        <v>15</v>
      </c>
      <c r="B13">
        <v>4</v>
      </c>
      <c r="C13" t="s">
        <v>1050</v>
      </c>
      <c r="D13">
        <v>37.56</v>
      </c>
      <c r="E13" t="s">
        <v>37</v>
      </c>
      <c r="F13" t="s">
        <v>37</v>
      </c>
      <c r="G13" t="s">
        <v>38</v>
      </c>
    </row>
    <row r="14" spans="1:8" x14ac:dyDescent="0.45">
      <c r="A14" t="s">
        <v>15</v>
      </c>
      <c r="B14">
        <v>5</v>
      </c>
      <c r="C14" t="s">
        <v>1051</v>
      </c>
      <c r="D14" t="s">
        <v>9</v>
      </c>
      <c r="E14" t="s">
        <v>37</v>
      </c>
      <c r="F14" t="s">
        <v>37</v>
      </c>
      <c r="G14" t="s">
        <v>38</v>
      </c>
    </row>
    <row r="15" spans="1:8" x14ac:dyDescent="0.45">
      <c r="A15" t="s">
        <v>15</v>
      </c>
      <c r="B15">
        <v>5</v>
      </c>
      <c r="C15" t="s">
        <v>1052</v>
      </c>
      <c r="D15">
        <v>36.659999999999997</v>
      </c>
      <c r="E15" t="s">
        <v>37</v>
      </c>
      <c r="F15" t="s">
        <v>37</v>
      </c>
      <c r="G15" t="s">
        <v>38</v>
      </c>
    </row>
    <row r="16" spans="1:8" x14ac:dyDescent="0.45">
      <c r="A16" t="s">
        <v>15</v>
      </c>
      <c r="B16">
        <v>5</v>
      </c>
      <c r="C16" t="s">
        <v>1053</v>
      </c>
      <c r="D16">
        <v>39.49</v>
      </c>
      <c r="E16" t="s">
        <v>37</v>
      </c>
      <c r="F16" t="s">
        <v>37</v>
      </c>
      <c r="G16" t="s">
        <v>38</v>
      </c>
    </row>
    <row r="17" spans="1:7" x14ac:dyDescent="0.45">
      <c r="A17" t="s">
        <v>15</v>
      </c>
      <c r="B17">
        <v>6</v>
      </c>
      <c r="C17" t="s">
        <v>1054</v>
      </c>
      <c r="D17" t="s">
        <v>9</v>
      </c>
      <c r="E17" t="s">
        <v>37</v>
      </c>
      <c r="F17" t="s">
        <v>37</v>
      </c>
      <c r="G17" t="s">
        <v>38</v>
      </c>
    </row>
    <row r="18" spans="1:7" x14ac:dyDescent="0.45">
      <c r="A18" t="s">
        <v>15</v>
      </c>
      <c r="B18">
        <v>6</v>
      </c>
      <c r="C18" t="s">
        <v>1055</v>
      </c>
      <c r="D18" t="s">
        <v>9</v>
      </c>
      <c r="E18" t="s">
        <v>37</v>
      </c>
      <c r="F18" t="s">
        <v>37</v>
      </c>
      <c r="G18" t="s">
        <v>38</v>
      </c>
    </row>
    <row r="19" spans="1:7" x14ac:dyDescent="0.45">
      <c r="A19" t="s">
        <v>15</v>
      </c>
      <c r="B19">
        <v>6</v>
      </c>
      <c r="C19" t="s">
        <v>1056</v>
      </c>
      <c r="D19" t="s">
        <v>9</v>
      </c>
      <c r="E19" t="s">
        <v>37</v>
      </c>
      <c r="F19" t="s">
        <v>37</v>
      </c>
      <c r="G19" t="s">
        <v>38</v>
      </c>
    </row>
    <row r="20" spans="1:7" x14ac:dyDescent="0.45">
      <c r="A20" t="s">
        <v>15</v>
      </c>
      <c r="B20">
        <v>7</v>
      </c>
      <c r="C20" t="s">
        <v>1058</v>
      </c>
      <c r="D20">
        <v>37.56</v>
      </c>
      <c r="E20" t="s">
        <v>37</v>
      </c>
      <c r="F20" t="s">
        <v>37</v>
      </c>
      <c r="G20" t="s">
        <v>38</v>
      </c>
    </row>
    <row r="21" spans="1:7" x14ac:dyDescent="0.45">
      <c r="A21" t="s">
        <v>15</v>
      </c>
      <c r="B21">
        <v>7</v>
      </c>
      <c r="C21" t="s">
        <v>1057</v>
      </c>
      <c r="D21">
        <v>36.15</v>
      </c>
      <c r="E21" t="s">
        <v>37</v>
      </c>
      <c r="F21" t="s">
        <v>37</v>
      </c>
      <c r="G21" t="s">
        <v>38</v>
      </c>
    </row>
    <row r="22" spans="1:7" x14ac:dyDescent="0.45">
      <c r="A22" t="s">
        <v>15</v>
      </c>
      <c r="B22">
        <v>7</v>
      </c>
      <c r="C22" t="s">
        <v>1059</v>
      </c>
      <c r="D22">
        <v>37.590000000000003</v>
      </c>
      <c r="E22" t="s">
        <v>37</v>
      </c>
      <c r="F22" t="s">
        <v>37</v>
      </c>
      <c r="G22" t="s">
        <v>38</v>
      </c>
    </row>
    <row r="23" spans="1:7" x14ac:dyDescent="0.45">
      <c r="A23" t="s">
        <v>15</v>
      </c>
      <c r="B23">
        <v>8</v>
      </c>
      <c r="C23" t="s">
        <v>1060</v>
      </c>
      <c r="D23">
        <v>37.799999999999997</v>
      </c>
      <c r="E23" t="s">
        <v>37</v>
      </c>
      <c r="F23" t="s">
        <v>37</v>
      </c>
      <c r="G23" t="s">
        <v>38</v>
      </c>
    </row>
    <row r="24" spans="1:7" x14ac:dyDescent="0.45">
      <c r="A24" t="s">
        <v>15</v>
      </c>
      <c r="B24">
        <v>8</v>
      </c>
      <c r="C24" t="s">
        <v>1061</v>
      </c>
      <c r="D24" t="s">
        <v>9</v>
      </c>
      <c r="E24" t="s">
        <v>37</v>
      </c>
      <c r="F24" t="s">
        <v>37</v>
      </c>
      <c r="G24" t="s">
        <v>38</v>
      </c>
    </row>
    <row r="25" spans="1:7" x14ac:dyDescent="0.45">
      <c r="A25" t="s">
        <v>15</v>
      </c>
      <c r="B25">
        <v>8</v>
      </c>
      <c r="C25" t="s">
        <v>1062</v>
      </c>
      <c r="D25" t="s">
        <v>9</v>
      </c>
      <c r="E25" t="s">
        <v>37</v>
      </c>
      <c r="F25" t="s">
        <v>37</v>
      </c>
      <c r="G25" t="s">
        <v>38</v>
      </c>
    </row>
    <row r="26" spans="1:7" x14ac:dyDescent="0.45">
      <c r="A26" t="s">
        <v>15</v>
      </c>
      <c r="B26">
        <v>9</v>
      </c>
      <c r="C26" t="s">
        <v>1063</v>
      </c>
      <c r="D26">
        <v>37.700000000000003</v>
      </c>
      <c r="E26" t="s">
        <v>37</v>
      </c>
      <c r="F26" t="s">
        <v>37</v>
      </c>
      <c r="G26" t="s">
        <v>38</v>
      </c>
    </row>
    <row r="27" spans="1:7" x14ac:dyDescent="0.45">
      <c r="A27" t="s">
        <v>15</v>
      </c>
      <c r="B27">
        <v>9</v>
      </c>
      <c r="C27" t="s">
        <v>1064</v>
      </c>
      <c r="D27" t="s">
        <v>9</v>
      </c>
      <c r="E27" t="s">
        <v>37</v>
      </c>
      <c r="F27" t="s">
        <v>37</v>
      </c>
      <c r="G27" t="s">
        <v>38</v>
      </c>
    </row>
    <row r="28" spans="1:7" x14ac:dyDescent="0.45">
      <c r="A28" t="s">
        <v>15</v>
      </c>
      <c r="B28">
        <v>9</v>
      </c>
      <c r="C28" t="s">
        <v>1065</v>
      </c>
      <c r="D28" t="s">
        <v>9</v>
      </c>
      <c r="E28" t="s">
        <v>37</v>
      </c>
      <c r="F28" t="s">
        <v>37</v>
      </c>
      <c r="G28" t="s">
        <v>38</v>
      </c>
    </row>
    <row r="29" spans="1:7" x14ac:dyDescent="0.45">
      <c r="A29" t="s">
        <v>15</v>
      </c>
      <c r="B29">
        <v>10</v>
      </c>
      <c r="C29" t="s">
        <v>1066</v>
      </c>
      <c r="D29">
        <v>39.53</v>
      </c>
      <c r="E29" t="s">
        <v>37</v>
      </c>
      <c r="F29" t="s">
        <v>37</v>
      </c>
      <c r="G29" t="s">
        <v>38</v>
      </c>
    </row>
    <row r="30" spans="1:7" x14ac:dyDescent="0.45">
      <c r="A30" t="s">
        <v>15</v>
      </c>
      <c r="B30">
        <v>10</v>
      </c>
      <c r="C30" t="s">
        <v>1067</v>
      </c>
      <c r="D30" t="s">
        <v>9</v>
      </c>
      <c r="E30" t="s">
        <v>37</v>
      </c>
      <c r="F30" t="s">
        <v>37</v>
      </c>
      <c r="G30" t="s">
        <v>38</v>
      </c>
    </row>
    <row r="31" spans="1:7" x14ac:dyDescent="0.45">
      <c r="A31" t="s">
        <v>15</v>
      </c>
      <c r="B31">
        <v>10</v>
      </c>
      <c r="C31" t="s">
        <v>1068</v>
      </c>
      <c r="D31">
        <v>37.99</v>
      </c>
      <c r="E31" t="s">
        <v>37</v>
      </c>
      <c r="F31" t="s">
        <v>37</v>
      </c>
      <c r="G31" t="s">
        <v>38</v>
      </c>
    </row>
    <row r="32" spans="1:7" x14ac:dyDescent="0.45">
      <c r="A32" t="s">
        <v>15</v>
      </c>
      <c r="B32">
        <v>11</v>
      </c>
      <c r="C32" t="s">
        <v>1069</v>
      </c>
      <c r="D32">
        <v>39.25</v>
      </c>
      <c r="E32" t="s">
        <v>37</v>
      </c>
      <c r="F32" t="s">
        <v>37</v>
      </c>
      <c r="G32" t="s">
        <v>38</v>
      </c>
    </row>
    <row r="33" spans="1:7" x14ac:dyDescent="0.45">
      <c r="A33" t="s">
        <v>15</v>
      </c>
      <c r="B33">
        <v>11</v>
      </c>
      <c r="C33" t="s">
        <v>1070</v>
      </c>
      <c r="D33" t="s">
        <v>9</v>
      </c>
      <c r="E33" t="s">
        <v>37</v>
      </c>
      <c r="F33" t="s">
        <v>37</v>
      </c>
      <c r="G33" t="s">
        <v>38</v>
      </c>
    </row>
    <row r="34" spans="1:7" x14ac:dyDescent="0.45">
      <c r="A34" t="s">
        <v>15</v>
      </c>
      <c r="B34">
        <v>11</v>
      </c>
      <c r="C34" t="s">
        <v>1071</v>
      </c>
      <c r="D34">
        <v>38.18</v>
      </c>
      <c r="E34" t="s">
        <v>37</v>
      </c>
      <c r="F34" t="s">
        <v>37</v>
      </c>
      <c r="G34" t="s">
        <v>38</v>
      </c>
    </row>
    <row r="35" spans="1:7" x14ac:dyDescent="0.45">
      <c r="A35" t="s">
        <v>15</v>
      </c>
      <c r="B35">
        <v>12</v>
      </c>
      <c r="C35" t="s">
        <v>1072</v>
      </c>
      <c r="D35" t="s">
        <v>9</v>
      </c>
      <c r="E35" t="s">
        <v>37</v>
      </c>
      <c r="F35" t="s">
        <v>37</v>
      </c>
      <c r="G35" t="s">
        <v>38</v>
      </c>
    </row>
    <row r="36" spans="1:7" x14ac:dyDescent="0.45">
      <c r="A36" t="s">
        <v>15</v>
      </c>
      <c r="B36">
        <v>12</v>
      </c>
      <c r="C36" t="s">
        <v>1073</v>
      </c>
      <c r="D36" t="s">
        <v>9</v>
      </c>
      <c r="E36" t="s">
        <v>37</v>
      </c>
      <c r="F36" t="s">
        <v>37</v>
      </c>
      <c r="G36" t="s">
        <v>38</v>
      </c>
    </row>
    <row r="37" spans="1:7" x14ac:dyDescent="0.45">
      <c r="A37" t="s">
        <v>15</v>
      </c>
      <c r="B37">
        <v>12</v>
      </c>
      <c r="C37" t="s">
        <v>1074</v>
      </c>
      <c r="D37">
        <v>38.380000000000003</v>
      </c>
      <c r="E37" t="s">
        <v>37</v>
      </c>
      <c r="F37" t="s">
        <v>37</v>
      </c>
      <c r="G37" t="s">
        <v>38</v>
      </c>
    </row>
    <row r="38" spans="1:7" x14ac:dyDescent="0.45">
      <c r="A38" t="s">
        <v>15</v>
      </c>
      <c r="B38">
        <v>13</v>
      </c>
      <c r="C38" t="s">
        <v>1075</v>
      </c>
      <c r="D38">
        <v>35.82</v>
      </c>
      <c r="E38" t="s">
        <v>37</v>
      </c>
      <c r="F38" t="s">
        <v>37</v>
      </c>
      <c r="G38" t="s">
        <v>38</v>
      </c>
    </row>
    <row r="39" spans="1:7" x14ac:dyDescent="0.45">
      <c r="A39" t="s">
        <v>15</v>
      </c>
      <c r="B39">
        <v>13</v>
      </c>
      <c r="C39" t="s">
        <v>1076</v>
      </c>
      <c r="D39">
        <v>37.74</v>
      </c>
      <c r="E39" t="s">
        <v>37</v>
      </c>
      <c r="F39" t="s">
        <v>37</v>
      </c>
      <c r="G39" t="s">
        <v>38</v>
      </c>
    </row>
    <row r="40" spans="1:7" x14ac:dyDescent="0.45">
      <c r="A40" t="s">
        <v>15</v>
      </c>
      <c r="B40">
        <v>13</v>
      </c>
      <c r="C40" t="s">
        <v>1077</v>
      </c>
      <c r="D40">
        <v>36.96</v>
      </c>
      <c r="E40" t="s">
        <v>37</v>
      </c>
      <c r="F40" t="s">
        <v>37</v>
      </c>
      <c r="G40" t="s">
        <v>38</v>
      </c>
    </row>
    <row r="41" spans="1:7" x14ac:dyDescent="0.45">
      <c r="A41" t="s">
        <v>15</v>
      </c>
      <c r="B41">
        <v>14</v>
      </c>
      <c r="C41" t="s">
        <v>1078</v>
      </c>
      <c r="D41">
        <v>36.92</v>
      </c>
      <c r="E41" t="s">
        <v>37</v>
      </c>
      <c r="F41" t="s">
        <v>37</v>
      </c>
      <c r="G41" t="s">
        <v>38</v>
      </c>
    </row>
    <row r="42" spans="1:7" x14ac:dyDescent="0.45">
      <c r="A42" t="s">
        <v>15</v>
      </c>
      <c r="B42">
        <v>14</v>
      </c>
      <c r="C42" t="s">
        <v>1079</v>
      </c>
      <c r="D42">
        <v>35.85</v>
      </c>
      <c r="E42" t="s">
        <v>37</v>
      </c>
      <c r="F42" t="s">
        <v>37</v>
      </c>
      <c r="G42" t="s">
        <v>38</v>
      </c>
    </row>
    <row r="43" spans="1:7" x14ac:dyDescent="0.45">
      <c r="A43" t="s">
        <v>15</v>
      </c>
      <c r="B43">
        <v>14</v>
      </c>
      <c r="C43" t="s">
        <v>1080</v>
      </c>
      <c r="D43">
        <v>39.54</v>
      </c>
      <c r="E43" t="s">
        <v>37</v>
      </c>
      <c r="F43" t="s">
        <v>37</v>
      </c>
      <c r="G43" t="s">
        <v>38</v>
      </c>
    </row>
    <row r="44" spans="1:7" x14ac:dyDescent="0.45">
      <c r="A44" t="s">
        <v>15</v>
      </c>
      <c r="B44">
        <v>15</v>
      </c>
      <c r="C44" t="s">
        <v>1081</v>
      </c>
      <c r="D44">
        <v>37.380000000000003</v>
      </c>
      <c r="E44" t="s">
        <v>37</v>
      </c>
      <c r="F44" t="s">
        <v>37</v>
      </c>
      <c r="G44" t="s">
        <v>38</v>
      </c>
    </row>
    <row r="45" spans="1:7" x14ac:dyDescent="0.45">
      <c r="A45" t="s">
        <v>15</v>
      </c>
      <c r="B45">
        <v>15</v>
      </c>
      <c r="C45" t="s">
        <v>1082</v>
      </c>
      <c r="D45" t="s">
        <v>9</v>
      </c>
      <c r="E45" t="s">
        <v>37</v>
      </c>
      <c r="F45" t="s">
        <v>37</v>
      </c>
      <c r="G45" t="s">
        <v>38</v>
      </c>
    </row>
    <row r="46" spans="1:7" x14ac:dyDescent="0.45">
      <c r="A46" t="s">
        <v>15</v>
      </c>
      <c r="B46">
        <v>15</v>
      </c>
      <c r="C46" t="s">
        <v>1083</v>
      </c>
      <c r="D46">
        <v>36.4</v>
      </c>
      <c r="E46" t="s">
        <v>37</v>
      </c>
      <c r="F46" t="s">
        <v>37</v>
      </c>
      <c r="G46" t="s">
        <v>38</v>
      </c>
    </row>
    <row r="47" spans="1:7" x14ac:dyDescent="0.45">
      <c r="A47" t="s">
        <v>15</v>
      </c>
      <c r="B47">
        <v>16</v>
      </c>
      <c r="C47" t="s">
        <v>1084</v>
      </c>
      <c r="D47">
        <v>39.97</v>
      </c>
      <c r="E47" t="s">
        <v>37</v>
      </c>
      <c r="F47" t="s">
        <v>37</v>
      </c>
      <c r="G47" t="s">
        <v>38</v>
      </c>
    </row>
    <row r="48" spans="1:7" x14ac:dyDescent="0.45">
      <c r="A48" t="s">
        <v>15</v>
      </c>
      <c r="B48">
        <v>16</v>
      </c>
      <c r="C48" t="s">
        <v>1085</v>
      </c>
      <c r="D48" t="s">
        <v>9</v>
      </c>
      <c r="E48" t="s">
        <v>37</v>
      </c>
      <c r="F48" t="s">
        <v>37</v>
      </c>
      <c r="G48" t="s">
        <v>38</v>
      </c>
    </row>
    <row r="49" spans="1:7" x14ac:dyDescent="0.45">
      <c r="A49" t="s">
        <v>15</v>
      </c>
      <c r="B49">
        <v>16</v>
      </c>
      <c r="C49" t="s">
        <v>1086</v>
      </c>
      <c r="D49">
        <v>37.26</v>
      </c>
      <c r="E49" t="s">
        <v>37</v>
      </c>
      <c r="F49" t="s">
        <v>37</v>
      </c>
      <c r="G49" t="s">
        <v>38</v>
      </c>
    </row>
    <row r="50" spans="1:7" x14ac:dyDescent="0.45">
      <c r="A50" t="s">
        <v>15</v>
      </c>
      <c r="B50">
        <v>17</v>
      </c>
      <c r="C50" t="s">
        <v>1087</v>
      </c>
      <c r="D50" t="s">
        <v>9</v>
      </c>
      <c r="E50" t="s">
        <v>37</v>
      </c>
      <c r="F50" t="s">
        <v>37</v>
      </c>
      <c r="G50" t="s">
        <v>38</v>
      </c>
    </row>
    <row r="51" spans="1:7" x14ac:dyDescent="0.45">
      <c r="A51" t="s">
        <v>15</v>
      </c>
      <c r="B51">
        <v>17</v>
      </c>
      <c r="C51" t="s">
        <v>1088</v>
      </c>
      <c r="D51" t="s">
        <v>9</v>
      </c>
      <c r="E51" t="s">
        <v>37</v>
      </c>
      <c r="F51" t="s">
        <v>37</v>
      </c>
      <c r="G51" t="s">
        <v>38</v>
      </c>
    </row>
    <row r="52" spans="1:7" x14ac:dyDescent="0.45">
      <c r="A52" t="s">
        <v>15</v>
      </c>
      <c r="B52">
        <v>17</v>
      </c>
      <c r="C52" t="s">
        <v>1089</v>
      </c>
      <c r="D52" t="s">
        <v>9</v>
      </c>
      <c r="E52" t="s">
        <v>37</v>
      </c>
      <c r="F52" t="s">
        <v>37</v>
      </c>
      <c r="G52" t="s">
        <v>38</v>
      </c>
    </row>
    <row r="53" spans="1:7" x14ac:dyDescent="0.45">
      <c r="A53" t="s">
        <v>15</v>
      </c>
      <c r="B53">
        <v>18</v>
      </c>
      <c r="C53" t="s">
        <v>1090</v>
      </c>
      <c r="D53">
        <v>37.19</v>
      </c>
      <c r="E53" t="s">
        <v>37</v>
      </c>
      <c r="F53" t="s">
        <v>37</v>
      </c>
      <c r="G53" t="s">
        <v>38</v>
      </c>
    </row>
    <row r="54" spans="1:7" x14ac:dyDescent="0.45">
      <c r="A54" t="s">
        <v>15</v>
      </c>
      <c r="B54">
        <v>18</v>
      </c>
      <c r="C54" t="s">
        <v>1091</v>
      </c>
      <c r="D54">
        <v>39.450000000000003</v>
      </c>
      <c r="E54" t="s">
        <v>37</v>
      </c>
      <c r="F54" t="s">
        <v>37</v>
      </c>
      <c r="G54" t="s">
        <v>38</v>
      </c>
    </row>
    <row r="55" spans="1:7" x14ac:dyDescent="0.45">
      <c r="A55" t="s">
        <v>15</v>
      </c>
      <c r="B55">
        <v>18</v>
      </c>
      <c r="C55" t="s">
        <v>1092</v>
      </c>
      <c r="D55" t="s">
        <v>9</v>
      </c>
      <c r="E55" t="s">
        <v>37</v>
      </c>
      <c r="F55" t="s">
        <v>37</v>
      </c>
      <c r="G55" t="s">
        <v>38</v>
      </c>
    </row>
    <row r="56" spans="1:7" x14ac:dyDescent="0.45">
      <c r="A56" t="s">
        <v>15</v>
      </c>
      <c r="B56">
        <v>19</v>
      </c>
      <c r="C56" t="s">
        <v>1093</v>
      </c>
      <c r="D56">
        <v>39.03</v>
      </c>
      <c r="E56" t="s">
        <v>37</v>
      </c>
      <c r="F56" t="s">
        <v>37</v>
      </c>
      <c r="G56" t="s">
        <v>38</v>
      </c>
    </row>
    <row r="57" spans="1:7" x14ac:dyDescent="0.45">
      <c r="A57" t="s">
        <v>15</v>
      </c>
      <c r="B57">
        <v>19</v>
      </c>
      <c r="C57" t="s">
        <v>1094</v>
      </c>
      <c r="D57" t="s">
        <v>9</v>
      </c>
      <c r="E57" t="s">
        <v>37</v>
      </c>
      <c r="F57" t="s">
        <v>37</v>
      </c>
      <c r="G57" t="s">
        <v>38</v>
      </c>
    </row>
    <row r="58" spans="1:7" x14ac:dyDescent="0.45">
      <c r="A58" t="s">
        <v>15</v>
      </c>
      <c r="B58">
        <v>19</v>
      </c>
      <c r="C58" t="s">
        <v>1095</v>
      </c>
      <c r="D58">
        <v>39.22</v>
      </c>
      <c r="E58" t="s">
        <v>37</v>
      </c>
      <c r="F58" t="s">
        <v>37</v>
      </c>
      <c r="G58" t="s">
        <v>38</v>
      </c>
    </row>
    <row r="59" spans="1:7" x14ac:dyDescent="0.45">
      <c r="A59" t="s">
        <v>15</v>
      </c>
      <c r="B59">
        <v>20</v>
      </c>
      <c r="C59" t="s">
        <v>1096</v>
      </c>
      <c r="D59" t="s">
        <v>9</v>
      </c>
      <c r="E59" t="s">
        <v>37</v>
      </c>
      <c r="F59" t="s">
        <v>37</v>
      </c>
      <c r="G59" t="s">
        <v>38</v>
      </c>
    </row>
    <row r="60" spans="1:7" x14ac:dyDescent="0.45">
      <c r="A60" t="s">
        <v>15</v>
      </c>
      <c r="B60">
        <v>20</v>
      </c>
      <c r="C60" t="s">
        <v>1097</v>
      </c>
      <c r="D60">
        <v>36.450000000000003</v>
      </c>
      <c r="E60" t="s">
        <v>37</v>
      </c>
      <c r="F60" t="s">
        <v>37</v>
      </c>
      <c r="G60" t="s">
        <v>38</v>
      </c>
    </row>
    <row r="61" spans="1:7" x14ac:dyDescent="0.45">
      <c r="A61" t="s">
        <v>15</v>
      </c>
      <c r="B61">
        <v>20</v>
      </c>
      <c r="C61" t="s">
        <v>1098</v>
      </c>
      <c r="D61">
        <v>37.5</v>
      </c>
      <c r="E61" t="s">
        <v>37</v>
      </c>
      <c r="F61" t="s">
        <v>37</v>
      </c>
      <c r="G61" t="s">
        <v>38</v>
      </c>
    </row>
    <row r="62" spans="1:7" x14ac:dyDescent="0.45">
      <c r="A62" t="s">
        <v>15</v>
      </c>
      <c r="B62">
        <v>21</v>
      </c>
      <c r="C62" t="s">
        <v>1099</v>
      </c>
      <c r="D62">
        <v>37.6</v>
      </c>
      <c r="E62" t="s">
        <v>37</v>
      </c>
      <c r="F62" t="s">
        <v>37</v>
      </c>
      <c r="G62" t="s">
        <v>38</v>
      </c>
    </row>
    <row r="63" spans="1:7" x14ac:dyDescent="0.45">
      <c r="A63" t="s">
        <v>15</v>
      </c>
      <c r="B63">
        <v>21</v>
      </c>
      <c r="C63" t="s">
        <v>1100</v>
      </c>
      <c r="D63">
        <v>37.94</v>
      </c>
      <c r="E63" t="s">
        <v>37</v>
      </c>
      <c r="F63" t="s">
        <v>37</v>
      </c>
      <c r="G63" t="s">
        <v>38</v>
      </c>
    </row>
    <row r="64" spans="1:7" x14ac:dyDescent="0.45">
      <c r="A64" t="s">
        <v>15</v>
      </c>
      <c r="B64">
        <v>21</v>
      </c>
      <c r="C64" t="s">
        <v>1101</v>
      </c>
      <c r="D64" t="s">
        <v>9</v>
      </c>
      <c r="E64" t="s">
        <v>37</v>
      </c>
      <c r="F64" t="s">
        <v>37</v>
      </c>
      <c r="G64" t="s">
        <v>38</v>
      </c>
    </row>
    <row r="65" spans="1:7" x14ac:dyDescent="0.45">
      <c r="A65" t="s">
        <v>15</v>
      </c>
      <c r="B65">
        <v>22</v>
      </c>
      <c r="C65" t="s">
        <v>1102</v>
      </c>
      <c r="D65">
        <v>37.51</v>
      </c>
      <c r="E65" t="s">
        <v>37</v>
      </c>
      <c r="F65" t="s">
        <v>37</v>
      </c>
      <c r="G65" t="s">
        <v>38</v>
      </c>
    </row>
    <row r="66" spans="1:7" x14ac:dyDescent="0.45">
      <c r="A66" t="s">
        <v>15</v>
      </c>
      <c r="B66">
        <v>22</v>
      </c>
      <c r="C66" t="s">
        <v>1103</v>
      </c>
      <c r="D66">
        <v>36.630000000000003</v>
      </c>
      <c r="E66" t="s">
        <v>37</v>
      </c>
      <c r="F66" t="s">
        <v>37</v>
      </c>
      <c r="G66" t="s">
        <v>38</v>
      </c>
    </row>
    <row r="67" spans="1:7" x14ac:dyDescent="0.45">
      <c r="A67" t="s">
        <v>15</v>
      </c>
      <c r="B67">
        <v>22</v>
      </c>
      <c r="C67" t="s">
        <v>1107</v>
      </c>
      <c r="D67">
        <v>36.369999999999997</v>
      </c>
      <c r="E67" t="s">
        <v>37</v>
      </c>
      <c r="F67" t="s">
        <v>37</v>
      </c>
      <c r="G67" t="s">
        <v>38</v>
      </c>
    </row>
    <row r="68" spans="1:7" x14ac:dyDescent="0.45">
      <c r="A68" t="s">
        <v>15</v>
      </c>
      <c r="B68">
        <v>23</v>
      </c>
      <c r="C68" t="s">
        <v>1104</v>
      </c>
      <c r="D68" t="s">
        <v>9</v>
      </c>
      <c r="E68" t="s">
        <v>37</v>
      </c>
      <c r="F68" t="s">
        <v>37</v>
      </c>
      <c r="G68" t="s">
        <v>38</v>
      </c>
    </row>
    <row r="69" spans="1:7" x14ac:dyDescent="0.45">
      <c r="A69" t="s">
        <v>15</v>
      </c>
      <c r="B69">
        <v>23</v>
      </c>
      <c r="C69" t="s">
        <v>1105</v>
      </c>
      <c r="D69">
        <v>36.82</v>
      </c>
      <c r="E69" t="s">
        <v>37</v>
      </c>
      <c r="F69" t="s">
        <v>37</v>
      </c>
      <c r="G69" t="s">
        <v>38</v>
      </c>
    </row>
    <row r="70" spans="1:7" x14ac:dyDescent="0.45">
      <c r="A70" t="s">
        <v>15</v>
      </c>
      <c r="B70">
        <v>23</v>
      </c>
      <c r="C70" t="s">
        <v>1106</v>
      </c>
      <c r="D70" t="s">
        <v>9</v>
      </c>
      <c r="E70" t="s">
        <v>37</v>
      </c>
      <c r="F70" t="s">
        <v>37</v>
      </c>
      <c r="G70" t="s">
        <v>38</v>
      </c>
    </row>
    <row r="71" spans="1:7" x14ac:dyDescent="0.45">
      <c r="A71" t="s">
        <v>15</v>
      </c>
      <c r="B71">
        <v>24</v>
      </c>
      <c r="C71" t="s">
        <v>1108</v>
      </c>
      <c r="D71">
        <v>38.869999999999997</v>
      </c>
      <c r="E71" t="s">
        <v>37</v>
      </c>
      <c r="F71" t="s">
        <v>37</v>
      </c>
      <c r="G71" t="s">
        <v>38</v>
      </c>
    </row>
    <row r="72" spans="1:7" x14ac:dyDescent="0.45">
      <c r="A72" t="s">
        <v>15</v>
      </c>
      <c r="B72">
        <v>24</v>
      </c>
      <c r="C72" t="s">
        <v>1109</v>
      </c>
      <c r="D72">
        <v>37.43</v>
      </c>
      <c r="E72" t="s">
        <v>37</v>
      </c>
      <c r="F72" t="s">
        <v>37</v>
      </c>
      <c r="G72" t="s">
        <v>38</v>
      </c>
    </row>
    <row r="73" spans="1:7" x14ac:dyDescent="0.45">
      <c r="A73" t="s">
        <v>15</v>
      </c>
      <c r="B73">
        <v>24</v>
      </c>
      <c r="C73" t="s">
        <v>1110</v>
      </c>
      <c r="D73">
        <v>36.74</v>
      </c>
      <c r="E73" t="s">
        <v>37</v>
      </c>
      <c r="F73" t="s">
        <v>37</v>
      </c>
      <c r="G73" t="s">
        <v>38</v>
      </c>
    </row>
    <row r="74" spans="1:7" x14ac:dyDescent="0.45">
      <c r="A74" t="s">
        <v>15</v>
      </c>
      <c r="B74">
        <v>25</v>
      </c>
      <c r="C74" t="s">
        <v>1111</v>
      </c>
      <c r="D74" t="s">
        <v>9</v>
      </c>
      <c r="E74" t="s">
        <v>37</v>
      </c>
      <c r="F74" t="s">
        <v>37</v>
      </c>
      <c r="G74" t="s">
        <v>38</v>
      </c>
    </row>
    <row r="75" spans="1:7" x14ac:dyDescent="0.45">
      <c r="A75" t="s">
        <v>15</v>
      </c>
      <c r="B75">
        <v>25</v>
      </c>
      <c r="C75" t="s">
        <v>1112</v>
      </c>
      <c r="D75">
        <v>38.51</v>
      </c>
      <c r="E75" t="s">
        <v>37</v>
      </c>
      <c r="F75" t="s">
        <v>37</v>
      </c>
      <c r="G75" t="s">
        <v>38</v>
      </c>
    </row>
    <row r="76" spans="1:7" x14ac:dyDescent="0.45">
      <c r="A76" t="s">
        <v>15</v>
      </c>
      <c r="B76">
        <v>25</v>
      </c>
      <c r="C76" t="s">
        <v>1113</v>
      </c>
      <c r="D76">
        <v>36.04</v>
      </c>
      <c r="E76" t="s">
        <v>37</v>
      </c>
      <c r="F76" t="s">
        <v>37</v>
      </c>
      <c r="G76" t="s">
        <v>38</v>
      </c>
    </row>
    <row r="77" spans="1:7" x14ac:dyDescent="0.45">
      <c r="A77" t="s">
        <v>15</v>
      </c>
      <c r="B77">
        <v>26</v>
      </c>
      <c r="C77" t="s">
        <v>1114</v>
      </c>
      <c r="D77">
        <v>36.72</v>
      </c>
      <c r="E77" t="s">
        <v>37</v>
      </c>
      <c r="F77" t="s">
        <v>37</v>
      </c>
      <c r="G77" t="s">
        <v>38</v>
      </c>
    </row>
    <row r="78" spans="1:7" x14ac:dyDescent="0.45">
      <c r="A78" t="s">
        <v>15</v>
      </c>
      <c r="B78">
        <v>26</v>
      </c>
      <c r="C78" t="s">
        <v>1115</v>
      </c>
      <c r="D78">
        <v>36.56</v>
      </c>
      <c r="E78" t="s">
        <v>37</v>
      </c>
      <c r="F78" t="s">
        <v>37</v>
      </c>
      <c r="G78" t="s">
        <v>38</v>
      </c>
    </row>
    <row r="79" spans="1:7" x14ac:dyDescent="0.45">
      <c r="A79" t="s">
        <v>15</v>
      </c>
      <c r="B79">
        <v>26</v>
      </c>
      <c r="C79" t="s">
        <v>1116</v>
      </c>
      <c r="D79" t="s">
        <v>9</v>
      </c>
      <c r="E79" t="s">
        <v>37</v>
      </c>
      <c r="F79" t="s">
        <v>37</v>
      </c>
      <c r="G79" t="s">
        <v>38</v>
      </c>
    </row>
    <row r="80" spans="1:7" x14ac:dyDescent="0.45">
      <c r="A80" t="s">
        <v>15</v>
      </c>
      <c r="B80">
        <v>27</v>
      </c>
      <c r="C80" t="s">
        <v>1265</v>
      </c>
      <c r="D80">
        <v>39.090000000000003</v>
      </c>
      <c r="E80" t="s">
        <v>37</v>
      </c>
      <c r="F80" t="s">
        <v>37</v>
      </c>
      <c r="G80" t="s">
        <v>38</v>
      </c>
    </row>
    <row r="81" spans="1:7" x14ac:dyDescent="0.45">
      <c r="A81" t="s">
        <v>15</v>
      </c>
      <c r="B81">
        <v>27</v>
      </c>
      <c r="C81" t="s">
        <v>1266</v>
      </c>
      <c r="D81" t="s">
        <v>9</v>
      </c>
      <c r="E81" t="s">
        <v>37</v>
      </c>
      <c r="F81" t="s">
        <v>37</v>
      </c>
      <c r="G81" t="s">
        <v>38</v>
      </c>
    </row>
    <row r="82" spans="1:7" x14ac:dyDescent="0.45">
      <c r="A82" t="s">
        <v>15</v>
      </c>
      <c r="B82">
        <v>27</v>
      </c>
      <c r="C82" t="s">
        <v>1267</v>
      </c>
      <c r="D82">
        <v>37.729999999999997</v>
      </c>
      <c r="E82" t="s">
        <v>37</v>
      </c>
      <c r="F82" t="s">
        <v>37</v>
      </c>
      <c r="G82" t="s">
        <v>38</v>
      </c>
    </row>
    <row r="83" spans="1:7" x14ac:dyDescent="0.45">
      <c r="A83" t="s">
        <v>15</v>
      </c>
      <c r="B83">
        <v>28</v>
      </c>
      <c r="C83" t="s">
        <v>1117</v>
      </c>
      <c r="D83" t="s">
        <v>9</v>
      </c>
      <c r="E83" t="s">
        <v>37</v>
      </c>
      <c r="F83" t="s">
        <v>37</v>
      </c>
      <c r="G83" t="s">
        <v>38</v>
      </c>
    </row>
    <row r="84" spans="1:7" x14ac:dyDescent="0.45">
      <c r="A84" t="s">
        <v>15</v>
      </c>
      <c r="B84">
        <v>28</v>
      </c>
      <c r="C84" t="s">
        <v>1118</v>
      </c>
      <c r="D84">
        <v>36.69</v>
      </c>
      <c r="E84" t="s">
        <v>37</v>
      </c>
      <c r="F84" t="s">
        <v>37</v>
      </c>
      <c r="G84" t="s">
        <v>38</v>
      </c>
    </row>
    <row r="85" spans="1:7" x14ac:dyDescent="0.45">
      <c r="A85" t="s">
        <v>15</v>
      </c>
      <c r="B85">
        <v>28</v>
      </c>
      <c r="C85" t="s">
        <v>1119</v>
      </c>
      <c r="D85">
        <v>36.54</v>
      </c>
      <c r="E85" t="s">
        <v>37</v>
      </c>
      <c r="F85" t="s">
        <v>37</v>
      </c>
      <c r="G85" t="s">
        <v>38</v>
      </c>
    </row>
    <row r="86" spans="1:7" x14ac:dyDescent="0.45">
      <c r="A86" t="s">
        <v>15</v>
      </c>
      <c r="B86">
        <v>29</v>
      </c>
      <c r="C86" t="s">
        <v>1120</v>
      </c>
      <c r="D86">
        <v>36.36</v>
      </c>
      <c r="E86" t="s">
        <v>37</v>
      </c>
      <c r="F86" t="s">
        <v>37</v>
      </c>
      <c r="G86" t="s">
        <v>38</v>
      </c>
    </row>
    <row r="87" spans="1:7" x14ac:dyDescent="0.45">
      <c r="A87" t="s">
        <v>15</v>
      </c>
      <c r="B87">
        <v>29</v>
      </c>
      <c r="C87" t="s">
        <v>1121</v>
      </c>
      <c r="D87">
        <v>35.1</v>
      </c>
      <c r="E87" t="s">
        <v>37</v>
      </c>
      <c r="F87" t="s">
        <v>37</v>
      </c>
      <c r="G87" t="s">
        <v>38</v>
      </c>
    </row>
    <row r="88" spans="1:7" x14ac:dyDescent="0.45">
      <c r="A88" t="s">
        <v>15</v>
      </c>
      <c r="B88">
        <v>29</v>
      </c>
      <c r="C88" t="s">
        <v>1122</v>
      </c>
      <c r="D88">
        <v>35.299999999999997</v>
      </c>
      <c r="E88" t="s">
        <v>37</v>
      </c>
      <c r="F88" t="s">
        <v>37</v>
      </c>
      <c r="G88" t="s">
        <v>38</v>
      </c>
    </row>
    <row r="89" spans="1:7" x14ac:dyDescent="0.45">
      <c r="A89" t="s">
        <v>7</v>
      </c>
      <c r="B89" t="s">
        <v>7</v>
      </c>
      <c r="C89" t="s">
        <v>7</v>
      </c>
      <c r="D89" t="s">
        <v>9</v>
      </c>
      <c r="E89" t="s">
        <v>37</v>
      </c>
      <c r="F89" t="s">
        <v>37</v>
      </c>
      <c r="G89" t="s">
        <v>38</v>
      </c>
    </row>
    <row r="90" spans="1:7" x14ac:dyDescent="0.45">
      <c r="A90" t="s">
        <v>7</v>
      </c>
      <c r="B90" t="s">
        <v>7</v>
      </c>
      <c r="C90" t="s">
        <v>7</v>
      </c>
      <c r="D90" t="s">
        <v>9</v>
      </c>
      <c r="E90" t="s">
        <v>37</v>
      </c>
      <c r="F90" t="s">
        <v>37</v>
      </c>
      <c r="G90" t="s">
        <v>38</v>
      </c>
    </row>
    <row r="91" spans="1:7" x14ac:dyDescent="0.45">
      <c r="A91" t="s">
        <v>7</v>
      </c>
      <c r="B91" t="s">
        <v>7</v>
      </c>
      <c r="C91" t="s">
        <v>7</v>
      </c>
      <c r="D91" t="s">
        <v>9</v>
      </c>
      <c r="E91" t="s">
        <v>37</v>
      </c>
      <c r="F91" t="s">
        <v>37</v>
      </c>
      <c r="G91" t="s">
        <v>38</v>
      </c>
    </row>
    <row r="92" spans="1:7" x14ac:dyDescent="0.45">
      <c r="A92" t="s">
        <v>11</v>
      </c>
      <c r="B92" t="s">
        <v>1250</v>
      </c>
      <c r="C92" t="s">
        <v>1256</v>
      </c>
      <c r="D92">
        <v>30</v>
      </c>
      <c r="E92" t="s">
        <v>37</v>
      </c>
      <c r="F92" t="s">
        <v>37</v>
      </c>
      <c r="G92" t="s">
        <v>38</v>
      </c>
    </row>
    <row r="93" spans="1:7" x14ac:dyDescent="0.45">
      <c r="A93" t="s">
        <v>11</v>
      </c>
      <c r="B93" t="s">
        <v>1250</v>
      </c>
      <c r="C93" t="s">
        <v>1256</v>
      </c>
      <c r="D93">
        <v>29.78</v>
      </c>
      <c r="E93" t="s">
        <v>37</v>
      </c>
      <c r="F93" t="s">
        <v>37</v>
      </c>
      <c r="G93" t="s">
        <v>38</v>
      </c>
    </row>
    <row r="94" spans="1:7" x14ac:dyDescent="0.45">
      <c r="A94" t="s">
        <v>11</v>
      </c>
      <c r="B94" t="s">
        <v>1250</v>
      </c>
      <c r="C94" t="s">
        <v>1256</v>
      </c>
      <c r="D94">
        <v>30.17</v>
      </c>
      <c r="E94" t="s">
        <v>37</v>
      </c>
      <c r="F94" t="s">
        <v>37</v>
      </c>
      <c r="G94" t="s">
        <v>38</v>
      </c>
    </row>
    <row r="95" spans="1:7" x14ac:dyDescent="0.45">
      <c r="A95" t="s">
        <v>11</v>
      </c>
      <c r="B95" t="s">
        <v>1249</v>
      </c>
      <c r="C95" t="s">
        <v>1255</v>
      </c>
      <c r="D95">
        <v>15.53</v>
      </c>
      <c r="E95" t="s">
        <v>37</v>
      </c>
      <c r="F95" t="s">
        <v>37</v>
      </c>
      <c r="G95" t="s">
        <v>38</v>
      </c>
    </row>
    <row r="96" spans="1:7" x14ac:dyDescent="0.45">
      <c r="A96" t="s">
        <v>11</v>
      </c>
      <c r="B96" t="s">
        <v>1249</v>
      </c>
      <c r="C96" t="s">
        <v>1255</v>
      </c>
      <c r="D96">
        <v>15.3</v>
      </c>
      <c r="E96" t="s">
        <v>37</v>
      </c>
      <c r="F96" t="s">
        <v>37</v>
      </c>
      <c r="G96" t="s">
        <v>38</v>
      </c>
    </row>
    <row r="97" spans="1:7" x14ac:dyDescent="0.45">
      <c r="A97" t="s">
        <v>11</v>
      </c>
      <c r="B97" t="s">
        <v>1249</v>
      </c>
      <c r="C97" t="s">
        <v>1255</v>
      </c>
      <c r="D97">
        <v>15.37</v>
      </c>
      <c r="E97" t="s">
        <v>37</v>
      </c>
      <c r="F97" t="s">
        <v>37</v>
      </c>
      <c r="G97" t="s">
        <v>38</v>
      </c>
    </row>
  </sheetData>
  <sortState xmlns:xlrd2="http://schemas.microsoft.com/office/spreadsheetml/2017/richdata2" ref="A2:H97">
    <sortCondition ref="B2:B97"/>
  </sortState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FB16-E177-4C32-ABCA-37D7148C964F}">
  <dimension ref="A1:H97"/>
  <sheetViews>
    <sheetView topLeftCell="A77" zoomScale="130" zoomScaleNormal="130" workbookViewId="0">
      <selection activeCell="F71" sqref="F71"/>
    </sheetView>
  </sheetViews>
  <sheetFormatPr defaultRowHeight="14.25" x14ac:dyDescent="0.45"/>
  <sheetData>
    <row r="1" spans="1:8" x14ac:dyDescent="0.45">
      <c r="A1" t="s">
        <v>1225</v>
      </c>
      <c r="B1" t="s">
        <v>1226</v>
      </c>
      <c r="C1" t="s">
        <v>756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</row>
    <row r="2" spans="1:8" x14ac:dyDescent="0.45">
      <c r="A2" t="s">
        <v>15</v>
      </c>
      <c r="B2">
        <v>1</v>
      </c>
      <c r="C2" t="s">
        <v>1123</v>
      </c>
      <c r="D2">
        <v>37.43</v>
      </c>
      <c r="E2" t="s">
        <v>37</v>
      </c>
      <c r="F2" t="s">
        <v>37</v>
      </c>
      <c r="G2" t="s">
        <v>37</v>
      </c>
      <c r="H2" t="s">
        <v>38</v>
      </c>
    </row>
    <row r="3" spans="1:8" x14ac:dyDescent="0.45">
      <c r="A3" t="s">
        <v>15</v>
      </c>
      <c r="B3">
        <v>1</v>
      </c>
      <c r="C3" t="s">
        <v>1124</v>
      </c>
      <c r="D3">
        <v>37.92</v>
      </c>
      <c r="E3" t="s">
        <v>37</v>
      </c>
      <c r="F3" t="s">
        <v>37</v>
      </c>
      <c r="G3" t="s">
        <v>37</v>
      </c>
      <c r="H3" t="s">
        <v>38</v>
      </c>
    </row>
    <row r="4" spans="1:8" x14ac:dyDescent="0.45">
      <c r="A4" t="s">
        <v>15</v>
      </c>
      <c r="B4">
        <v>1</v>
      </c>
      <c r="C4" t="s">
        <v>1125</v>
      </c>
      <c r="D4">
        <v>37.270000000000003</v>
      </c>
      <c r="E4" t="s">
        <v>37</v>
      </c>
      <c r="F4" t="s">
        <v>37</v>
      </c>
      <c r="G4" t="s">
        <v>37</v>
      </c>
      <c r="H4" t="s">
        <v>38</v>
      </c>
    </row>
    <row r="5" spans="1:8" x14ac:dyDescent="0.45">
      <c r="A5" t="s">
        <v>15</v>
      </c>
      <c r="B5">
        <v>2</v>
      </c>
      <c r="C5" t="s">
        <v>1126</v>
      </c>
      <c r="D5" t="s">
        <v>9</v>
      </c>
      <c r="E5" t="s">
        <v>37</v>
      </c>
      <c r="F5" t="s">
        <v>37</v>
      </c>
      <c r="G5" t="s">
        <v>37</v>
      </c>
      <c r="H5" t="s">
        <v>38</v>
      </c>
    </row>
    <row r="6" spans="1:8" x14ac:dyDescent="0.45">
      <c r="A6" t="s">
        <v>15</v>
      </c>
      <c r="B6">
        <v>2</v>
      </c>
      <c r="C6" t="s">
        <v>1127</v>
      </c>
      <c r="D6">
        <v>36.409999999999997</v>
      </c>
      <c r="E6" t="s">
        <v>37</v>
      </c>
      <c r="F6" t="s">
        <v>37</v>
      </c>
      <c r="G6" t="s">
        <v>37</v>
      </c>
      <c r="H6" t="s">
        <v>38</v>
      </c>
    </row>
    <row r="7" spans="1:8" x14ac:dyDescent="0.45">
      <c r="A7" t="s">
        <v>15</v>
      </c>
      <c r="B7">
        <v>2</v>
      </c>
      <c r="C7" t="s">
        <v>1128</v>
      </c>
      <c r="D7">
        <v>35.89</v>
      </c>
      <c r="E7" t="s">
        <v>37</v>
      </c>
      <c r="F7" t="s">
        <v>37</v>
      </c>
      <c r="G7" t="s">
        <v>37</v>
      </c>
      <c r="H7" t="s">
        <v>38</v>
      </c>
    </row>
    <row r="8" spans="1:8" x14ac:dyDescent="0.45">
      <c r="A8" t="s">
        <v>15</v>
      </c>
      <c r="B8">
        <v>3</v>
      </c>
      <c r="C8" t="s">
        <v>1129</v>
      </c>
      <c r="D8">
        <v>37.74</v>
      </c>
      <c r="E8" t="s">
        <v>37</v>
      </c>
      <c r="F8" t="s">
        <v>37</v>
      </c>
      <c r="G8" t="s">
        <v>37</v>
      </c>
      <c r="H8" t="s">
        <v>38</v>
      </c>
    </row>
    <row r="9" spans="1:8" x14ac:dyDescent="0.45">
      <c r="A9" t="s">
        <v>15</v>
      </c>
      <c r="B9">
        <v>3</v>
      </c>
      <c r="C9" t="s">
        <v>1130</v>
      </c>
      <c r="D9" t="s">
        <v>9</v>
      </c>
      <c r="E9" t="s">
        <v>37</v>
      </c>
      <c r="F9" t="s">
        <v>37</v>
      </c>
      <c r="G9" t="s">
        <v>37</v>
      </c>
      <c r="H9" t="s">
        <v>38</v>
      </c>
    </row>
    <row r="10" spans="1:8" x14ac:dyDescent="0.45">
      <c r="A10" t="s">
        <v>15</v>
      </c>
      <c r="B10">
        <v>3</v>
      </c>
      <c r="C10" t="s">
        <v>1131</v>
      </c>
      <c r="D10" t="s">
        <v>9</v>
      </c>
      <c r="E10" t="s">
        <v>37</v>
      </c>
      <c r="F10" t="s">
        <v>37</v>
      </c>
      <c r="G10" t="s">
        <v>37</v>
      </c>
      <c r="H10" t="s">
        <v>38</v>
      </c>
    </row>
    <row r="11" spans="1:8" x14ac:dyDescent="0.45">
      <c r="A11" t="s">
        <v>15</v>
      </c>
      <c r="B11">
        <v>4</v>
      </c>
      <c r="C11" t="s">
        <v>1132</v>
      </c>
      <c r="D11">
        <v>37.9</v>
      </c>
      <c r="E11" t="s">
        <v>37</v>
      </c>
      <c r="F11" t="s">
        <v>37</v>
      </c>
      <c r="G11" t="s">
        <v>37</v>
      </c>
      <c r="H11" t="s">
        <v>38</v>
      </c>
    </row>
    <row r="12" spans="1:8" x14ac:dyDescent="0.45">
      <c r="A12" t="s">
        <v>15</v>
      </c>
      <c r="B12">
        <v>4</v>
      </c>
      <c r="C12" t="s">
        <v>1133</v>
      </c>
      <c r="D12" t="s">
        <v>9</v>
      </c>
      <c r="E12" t="s">
        <v>37</v>
      </c>
      <c r="F12" t="s">
        <v>37</v>
      </c>
      <c r="G12" t="s">
        <v>37</v>
      </c>
      <c r="H12" t="s">
        <v>38</v>
      </c>
    </row>
    <row r="13" spans="1:8" x14ac:dyDescent="0.45">
      <c r="A13" t="s">
        <v>15</v>
      </c>
      <c r="B13">
        <v>4</v>
      </c>
      <c r="C13" t="s">
        <v>1134</v>
      </c>
      <c r="D13" t="s">
        <v>9</v>
      </c>
      <c r="E13" t="s">
        <v>37</v>
      </c>
      <c r="F13" t="s">
        <v>37</v>
      </c>
      <c r="G13" t="s">
        <v>37</v>
      </c>
      <c r="H13" t="s">
        <v>38</v>
      </c>
    </row>
    <row r="14" spans="1:8" x14ac:dyDescent="0.45">
      <c r="A14" t="s">
        <v>15</v>
      </c>
      <c r="B14">
        <v>5</v>
      </c>
      <c r="C14" t="s">
        <v>1135</v>
      </c>
      <c r="D14" t="s">
        <v>9</v>
      </c>
      <c r="E14" t="s">
        <v>37</v>
      </c>
      <c r="F14" t="s">
        <v>37</v>
      </c>
      <c r="G14" t="s">
        <v>37</v>
      </c>
      <c r="H14" t="s">
        <v>38</v>
      </c>
    </row>
    <row r="15" spans="1:8" x14ac:dyDescent="0.45">
      <c r="A15" t="s">
        <v>15</v>
      </c>
      <c r="B15">
        <v>5</v>
      </c>
      <c r="C15" t="s">
        <v>1136</v>
      </c>
      <c r="D15">
        <v>37.61</v>
      </c>
      <c r="E15" t="s">
        <v>37</v>
      </c>
      <c r="F15" t="s">
        <v>37</v>
      </c>
      <c r="G15" t="s">
        <v>37</v>
      </c>
      <c r="H15" t="s">
        <v>38</v>
      </c>
    </row>
    <row r="16" spans="1:8" x14ac:dyDescent="0.45">
      <c r="A16" t="s">
        <v>15</v>
      </c>
      <c r="B16">
        <v>5</v>
      </c>
      <c r="C16" t="s">
        <v>1137</v>
      </c>
      <c r="D16" t="s">
        <v>9</v>
      </c>
      <c r="E16" t="s">
        <v>37</v>
      </c>
      <c r="F16" t="s">
        <v>37</v>
      </c>
      <c r="G16" t="s">
        <v>37</v>
      </c>
      <c r="H16" t="s">
        <v>38</v>
      </c>
    </row>
    <row r="17" spans="1:8" x14ac:dyDescent="0.45">
      <c r="A17" t="s">
        <v>15</v>
      </c>
      <c r="B17">
        <v>6</v>
      </c>
      <c r="C17" t="s">
        <v>1138</v>
      </c>
      <c r="D17" t="s">
        <v>9</v>
      </c>
      <c r="E17" t="s">
        <v>37</v>
      </c>
      <c r="F17" t="s">
        <v>37</v>
      </c>
      <c r="G17" t="s">
        <v>37</v>
      </c>
      <c r="H17" t="s">
        <v>38</v>
      </c>
    </row>
    <row r="18" spans="1:8" x14ac:dyDescent="0.45">
      <c r="A18" t="s">
        <v>15</v>
      </c>
      <c r="B18">
        <v>6</v>
      </c>
      <c r="C18" t="s">
        <v>1139</v>
      </c>
      <c r="D18" t="s">
        <v>9</v>
      </c>
      <c r="E18" t="s">
        <v>37</v>
      </c>
      <c r="F18" t="s">
        <v>37</v>
      </c>
      <c r="G18" t="s">
        <v>37</v>
      </c>
      <c r="H18" t="s">
        <v>38</v>
      </c>
    </row>
    <row r="19" spans="1:8" x14ac:dyDescent="0.45">
      <c r="A19" t="s">
        <v>15</v>
      </c>
      <c r="B19">
        <v>6</v>
      </c>
      <c r="C19" t="s">
        <v>1140</v>
      </c>
      <c r="D19" t="s">
        <v>9</v>
      </c>
      <c r="E19" t="s">
        <v>37</v>
      </c>
      <c r="F19" t="s">
        <v>37</v>
      </c>
      <c r="G19" t="s">
        <v>37</v>
      </c>
      <c r="H19" t="s">
        <v>38</v>
      </c>
    </row>
    <row r="20" spans="1:8" x14ac:dyDescent="0.45">
      <c r="A20" t="s">
        <v>15</v>
      </c>
      <c r="B20">
        <v>7</v>
      </c>
      <c r="C20" t="s">
        <v>1141</v>
      </c>
      <c r="D20" t="s">
        <v>9</v>
      </c>
      <c r="E20" t="s">
        <v>37</v>
      </c>
      <c r="F20" t="s">
        <v>37</v>
      </c>
      <c r="G20" t="s">
        <v>37</v>
      </c>
      <c r="H20" t="s">
        <v>38</v>
      </c>
    </row>
    <row r="21" spans="1:8" x14ac:dyDescent="0.45">
      <c r="A21" t="s">
        <v>15</v>
      </c>
      <c r="B21">
        <v>7</v>
      </c>
      <c r="C21" t="s">
        <v>1142</v>
      </c>
      <c r="D21" t="s">
        <v>9</v>
      </c>
      <c r="E21" t="s">
        <v>37</v>
      </c>
      <c r="F21" t="s">
        <v>37</v>
      </c>
      <c r="G21" t="s">
        <v>37</v>
      </c>
      <c r="H21" t="s">
        <v>38</v>
      </c>
    </row>
    <row r="22" spans="1:8" x14ac:dyDescent="0.45">
      <c r="A22" t="s">
        <v>15</v>
      </c>
      <c r="B22">
        <v>7</v>
      </c>
      <c r="C22" t="s">
        <v>1143</v>
      </c>
      <c r="D22">
        <v>36.26</v>
      </c>
      <c r="E22" t="s">
        <v>37</v>
      </c>
      <c r="F22" t="s">
        <v>37</v>
      </c>
      <c r="G22" t="s">
        <v>37</v>
      </c>
      <c r="H22" t="s">
        <v>38</v>
      </c>
    </row>
    <row r="23" spans="1:8" x14ac:dyDescent="0.45">
      <c r="A23" t="s">
        <v>15</v>
      </c>
      <c r="B23">
        <v>8</v>
      </c>
      <c r="C23" t="s">
        <v>1144</v>
      </c>
      <c r="D23" t="s">
        <v>9</v>
      </c>
      <c r="E23" t="s">
        <v>37</v>
      </c>
      <c r="F23" t="s">
        <v>37</v>
      </c>
      <c r="G23" t="s">
        <v>37</v>
      </c>
      <c r="H23" t="s">
        <v>38</v>
      </c>
    </row>
    <row r="24" spans="1:8" x14ac:dyDescent="0.45">
      <c r="A24" t="s">
        <v>15</v>
      </c>
      <c r="B24">
        <v>8</v>
      </c>
      <c r="C24" t="s">
        <v>1145</v>
      </c>
      <c r="D24" t="s">
        <v>9</v>
      </c>
      <c r="E24" t="s">
        <v>37</v>
      </c>
      <c r="F24" t="s">
        <v>37</v>
      </c>
      <c r="G24" t="s">
        <v>37</v>
      </c>
      <c r="H24" t="s">
        <v>38</v>
      </c>
    </row>
    <row r="25" spans="1:8" x14ac:dyDescent="0.45">
      <c r="A25" t="s">
        <v>15</v>
      </c>
      <c r="B25">
        <v>8</v>
      </c>
      <c r="C25" t="s">
        <v>1146</v>
      </c>
      <c r="D25" t="s">
        <v>9</v>
      </c>
      <c r="E25" t="s">
        <v>37</v>
      </c>
      <c r="F25" t="s">
        <v>37</v>
      </c>
      <c r="G25" t="s">
        <v>37</v>
      </c>
      <c r="H25" t="s">
        <v>38</v>
      </c>
    </row>
    <row r="26" spans="1:8" x14ac:dyDescent="0.45">
      <c r="A26" t="s">
        <v>15</v>
      </c>
      <c r="B26">
        <v>9</v>
      </c>
      <c r="C26" t="s">
        <v>1147</v>
      </c>
      <c r="D26">
        <v>36.14</v>
      </c>
      <c r="E26" t="s">
        <v>37</v>
      </c>
      <c r="F26" t="s">
        <v>37</v>
      </c>
      <c r="G26" t="s">
        <v>37</v>
      </c>
      <c r="H26" t="s">
        <v>38</v>
      </c>
    </row>
    <row r="27" spans="1:8" x14ac:dyDescent="0.45">
      <c r="A27" t="s">
        <v>15</v>
      </c>
      <c r="B27">
        <v>9</v>
      </c>
      <c r="C27" t="s">
        <v>1148</v>
      </c>
      <c r="D27">
        <v>37.07</v>
      </c>
      <c r="E27" t="s">
        <v>37</v>
      </c>
      <c r="F27" t="s">
        <v>37</v>
      </c>
      <c r="G27" t="s">
        <v>37</v>
      </c>
      <c r="H27" t="s">
        <v>38</v>
      </c>
    </row>
    <row r="28" spans="1:8" x14ac:dyDescent="0.45">
      <c r="A28" t="s">
        <v>15</v>
      </c>
      <c r="B28">
        <v>9</v>
      </c>
      <c r="C28" t="s">
        <v>1149</v>
      </c>
      <c r="D28">
        <v>37.549999999999997</v>
      </c>
      <c r="E28" t="s">
        <v>37</v>
      </c>
      <c r="F28" t="s">
        <v>37</v>
      </c>
      <c r="G28" t="s">
        <v>37</v>
      </c>
      <c r="H28" t="s">
        <v>38</v>
      </c>
    </row>
    <row r="29" spans="1:8" x14ac:dyDescent="0.45">
      <c r="A29" t="s">
        <v>15</v>
      </c>
      <c r="B29">
        <v>10</v>
      </c>
      <c r="C29" t="s">
        <v>1150</v>
      </c>
      <c r="D29" t="s">
        <v>9</v>
      </c>
      <c r="E29" t="s">
        <v>37</v>
      </c>
      <c r="F29" t="s">
        <v>37</v>
      </c>
      <c r="G29" t="s">
        <v>37</v>
      </c>
      <c r="H29" t="s">
        <v>38</v>
      </c>
    </row>
    <row r="30" spans="1:8" x14ac:dyDescent="0.45">
      <c r="A30" t="s">
        <v>15</v>
      </c>
      <c r="B30">
        <v>10</v>
      </c>
      <c r="C30" t="s">
        <v>1151</v>
      </c>
      <c r="D30">
        <v>37.450000000000003</v>
      </c>
      <c r="E30" t="s">
        <v>37</v>
      </c>
      <c r="F30" t="s">
        <v>37</v>
      </c>
      <c r="G30" t="s">
        <v>37</v>
      </c>
      <c r="H30" t="s">
        <v>38</v>
      </c>
    </row>
    <row r="31" spans="1:8" x14ac:dyDescent="0.45">
      <c r="A31" t="s">
        <v>15</v>
      </c>
      <c r="B31">
        <v>10</v>
      </c>
      <c r="C31" t="s">
        <v>1152</v>
      </c>
      <c r="D31">
        <v>37.119999999999997</v>
      </c>
      <c r="E31" t="s">
        <v>37</v>
      </c>
      <c r="F31" t="s">
        <v>37</v>
      </c>
      <c r="G31" t="s">
        <v>37</v>
      </c>
      <c r="H31" t="s">
        <v>38</v>
      </c>
    </row>
    <row r="32" spans="1:8" x14ac:dyDescent="0.45">
      <c r="A32" t="s">
        <v>15</v>
      </c>
      <c r="B32">
        <v>11</v>
      </c>
      <c r="C32" t="s">
        <v>1153</v>
      </c>
      <c r="D32" t="s">
        <v>9</v>
      </c>
      <c r="E32" t="s">
        <v>37</v>
      </c>
      <c r="F32" t="s">
        <v>37</v>
      </c>
      <c r="G32" t="s">
        <v>37</v>
      </c>
      <c r="H32" t="s">
        <v>38</v>
      </c>
    </row>
    <row r="33" spans="1:8" x14ac:dyDescent="0.45">
      <c r="A33" t="s">
        <v>15</v>
      </c>
      <c r="B33">
        <v>11</v>
      </c>
      <c r="C33" t="s">
        <v>1155</v>
      </c>
      <c r="D33">
        <v>35.92</v>
      </c>
      <c r="E33" t="s">
        <v>37</v>
      </c>
      <c r="F33" t="s">
        <v>37</v>
      </c>
      <c r="G33" t="s">
        <v>37</v>
      </c>
      <c r="H33" t="s">
        <v>38</v>
      </c>
    </row>
    <row r="34" spans="1:8" x14ac:dyDescent="0.45">
      <c r="A34" t="s">
        <v>15</v>
      </c>
      <c r="B34">
        <v>11</v>
      </c>
      <c r="C34" t="s">
        <v>1154</v>
      </c>
      <c r="D34">
        <v>37.130000000000003</v>
      </c>
      <c r="E34" t="s">
        <v>37</v>
      </c>
      <c r="F34" t="s">
        <v>37</v>
      </c>
      <c r="G34" t="s">
        <v>37</v>
      </c>
      <c r="H34" t="s">
        <v>38</v>
      </c>
    </row>
    <row r="35" spans="1:8" x14ac:dyDescent="0.45">
      <c r="A35" t="s">
        <v>15</v>
      </c>
      <c r="B35">
        <v>12</v>
      </c>
      <c r="C35" t="s">
        <v>1156</v>
      </c>
      <c r="D35" t="s">
        <v>9</v>
      </c>
      <c r="E35" t="s">
        <v>37</v>
      </c>
      <c r="F35" t="s">
        <v>37</v>
      </c>
      <c r="G35" t="s">
        <v>37</v>
      </c>
      <c r="H35" t="s">
        <v>38</v>
      </c>
    </row>
    <row r="36" spans="1:8" x14ac:dyDescent="0.45">
      <c r="A36" t="s">
        <v>15</v>
      </c>
      <c r="B36">
        <v>12</v>
      </c>
      <c r="C36" t="s">
        <v>1157</v>
      </c>
      <c r="D36" t="s">
        <v>9</v>
      </c>
      <c r="E36" t="s">
        <v>37</v>
      </c>
      <c r="F36" t="s">
        <v>37</v>
      </c>
      <c r="G36" t="s">
        <v>37</v>
      </c>
      <c r="H36" t="s">
        <v>38</v>
      </c>
    </row>
    <row r="37" spans="1:8" x14ac:dyDescent="0.45">
      <c r="A37" t="s">
        <v>15</v>
      </c>
      <c r="B37">
        <v>12</v>
      </c>
      <c r="C37" t="s">
        <v>1158</v>
      </c>
      <c r="D37">
        <v>34.64</v>
      </c>
      <c r="E37" t="s">
        <v>37</v>
      </c>
      <c r="F37" t="s">
        <v>37</v>
      </c>
      <c r="G37" t="s">
        <v>37</v>
      </c>
      <c r="H37" t="s">
        <v>38</v>
      </c>
    </row>
    <row r="38" spans="1:8" x14ac:dyDescent="0.45">
      <c r="A38" t="s">
        <v>15</v>
      </c>
      <c r="B38">
        <v>13</v>
      </c>
      <c r="C38" t="s">
        <v>1159</v>
      </c>
      <c r="D38">
        <v>36.54</v>
      </c>
      <c r="E38" t="s">
        <v>37</v>
      </c>
      <c r="F38" t="s">
        <v>37</v>
      </c>
      <c r="G38" t="s">
        <v>37</v>
      </c>
      <c r="H38" t="s">
        <v>38</v>
      </c>
    </row>
    <row r="39" spans="1:8" x14ac:dyDescent="0.45">
      <c r="A39" t="s">
        <v>15</v>
      </c>
      <c r="B39">
        <v>13</v>
      </c>
      <c r="C39" t="s">
        <v>1160</v>
      </c>
      <c r="D39">
        <v>35.82</v>
      </c>
      <c r="E39" t="s">
        <v>37</v>
      </c>
      <c r="F39" t="s">
        <v>37</v>
      </c>
      <c r="G39" t="s">
        <v>37</v>
      </c>
      <c r="H39" t="s">
        <v>38</v>
      </c>
    </row>
    <row r="40" spans="1:8" x14ac:dyDescent="0.45">
      <c r="A40" t="s">
        <v>15</v>
      </c>
      <c r="B40">
        <v>13</v>
      </c>
      <c r="C40" t="s">
        <v>1161</v>
      </c>
      <c r="D40">
        <v>36.67</v>
      </c>
      <c r="E40" t="s">
        <v>37</v>
      </c>
      <c r="F40" t="s">
        <v>37</v>
      </c>
      <c r="G40" t="s">
        <v>37</v>
      </c>
      <c r="H40" t="s">
        <v>38</v>
      </c>
    </row>
    <row r="41" spans="1:8" x14ac:dyDescent="0.45">
      <c r="A41" t="s">
        <v>15</v>
      </c>
      <c r="B41">
        <v>14</v>
      </c>
      <c r="C41" t="s">
        <v>1162</v>
      </c>
      <c r="D41">
        <v>37.42</v>
      </c>
      <c r="E41" t="s">
        <v>37</v>
      </c>
      <c r="F41" t="s">
        <v>37</v>
      </c>
      <c r="G41" t="s">
        <v>37</v>
      </c>
      <c r="H41" t="s">
        <v>38</v>
      </c>
    </row>
    <row r="42" spans="1:8" x14ac:dyDescent="0.45">
      <c r="A42" t="s">
        <v>15</v>
      </c>
      <c r="B42">
        <v>14</v>
      </c>
      <c r="C42" t="s">
        <v>1163</v>
      </c>
      <c r="D42">
        <v>37.83</v>
      </c>
      <c r="E42" t="s">
        <v>37</v>
      </c>
      <c r="F42" t="s">
        <v>37</v>
      </c>
      <c r="G42" t="s">
        <v>37</v>
      </c>
      <c r="H42" t="s">
        <v>38</v>
      </c>
    </row>
    <row r="43" spans="1:8" x14ac:dyDescent="0.45">
      <c r="A43" t="s">
        <v>15</v>
      </c>
      <c r="B43">
        <v>14</v>
      </c>
      <c r="C43" t="s">
        <v>1164</v>
      </c>
      <c r="D43" t="s">
        <v>9</v>
      </c>
      <c r="E43" t="s">
        <v>37</v>
      </c>
      <c r="F43" t="s">
        <v>37</v>
      </c>
      <c r="G43" t="s">
        <v>37</v>
      </c>
      <c r="H43" t="s">
        <v>38</v>
      </c>
    </row>
    <row r="44" spans="1:8" x14ac:dyDescent="0.45">
      <c r="A44" t="s">
        <v>15</v>
      </c>
      <c r="B44">
        <v>15</v>
      </c>
      <c r="C44" t="s">
        <v>1165</v>
      </c>
      <c r="D44">
        <v>37.58</v>
      </c>
      <c r="E44" t="s">
        <v>37</v>
      </c>
      <c r="F44" t="s">
        <v>37</v>
      </c>
      <c r="G44" t="s">
        <v>37</v>
      </c>
      <c r="H44" t="s">
        <v>38</v>
      </c>
    </row>
    <row r="45" spans="1:8" x14ac:dyDescent="0.45">
      <c r="A45" t="s">
        <v>15</v>
      </c>
      <c r="B45">
        <v>15</v>
      </c>
      <c r="C45" t="s">
        <v>1166</v>
      </c>
      <c r="D45" t="s">
        <v>9</v>
      </c>
      <c r="E45" t="s">
        <v>37</v>
      </c>
      <c r="F45" t="s">
        <v>37</v>
      </c>
      <c r="G45" t="s">
        <v>37</v>
      </c>
      <c r="H45" t="s">
        <v>38</v>
      </c>
    </row>
    <row r="46" spans="1:8" x14ac:dyDescent="0.45">
      <c r="A46" t="s">
        <v>15</v>
      </c>
      <c r="B46">
        <v>15</v>
      </c>
      <c r="C46" t="s">
        <v>1167</v>
      </c>
      <c r="D46" t="s">
        <v>9</v>
      </c>
      <c r="E46" t="s">
        <v>37</v>
      </c>
      <c r="F46" t="s">
        <v>37</v>
      </c>
      <c r="G46" t="s">
        <v>37</v>
      </c>
      <c r="H46" t="s">
        <v>38</v>
      </c>
    </row>
    <row r="47" spans="1:8" x14ac:dyDescent="0.45">
      <c r="A47" t="s">
        <v>15</v>
      </c>
      <c r="B47">
        <v>16</v>
      </c>
      <c r="C47" t="s">
        <v>1168</v>
      </c>
      <c r="D47" t="s">
        <v>9</v>
      </c>
      <c r="E47" t="s">
        <v>37</v>
      </c>
      <c r="F47" t="s">
        <v>37</v>
      </c>
      <c r="G47" t="s">
        <v>37</v>
      </c>
      <c r="H47" t="s">
        <v>38</v>
      </c>
    </row>
    <row r="48" spans="1:8" x14ac:dyDescent="0.45">
      <c r="A48" t="s">
        <v>15</v>
      </c>
      <c r="B48">
        <v>16</v>
      </c>
      <c r="C48" t="s">
        <v>1169</v>
      </c>
      <c r="D48">
        <v>35.729999999999997</v>
      </c>
      <c r="E48" t="s">
        <v>37</v>
      </c>
      <c r="F48" t="s">
        <v>37</v>
      </c>
      <c r="G48" t="s">
        <v>37</v>
      </c>
      <c r="H48" t="s">
        <v>38</v>
      </c>
    </row>
    <row r="49" spans="1:8" x14ac:dyDescent="0.45">
      <c r="A49" t="s">
        <v>15</v>
      </c>
      <c r="B49">
        <v>16</v>
      </c>
      <c r="C49" t="s">
        <v>1170</v>
      </c>
      <c r="D49">
        <v>35.96</v>
      </c>
      <c r="E49" t="s">
        <v>37</v>
      </c>
      <c r="F49" t="s">
        <v>37</v>
      </c>
      <c r="G49" t="s">
        <v>37</v>
      </c>
      <c r="H49" t="s">
        <v>38</v>
      </c>
    </row>
    <row r="50" spans="1:8" x14ac:dyDescent="0.45">
      <c r="A50" t="s">
        <v>15</v>
      </c>
      <c r="B50">
        <v>17</v>
      </c>
      <c r="C50" t="s">
        <v>1171</v>
      </c>
      <c r="D50">
        <v>36.71</v>
      </c>
      <c r="E50" t="s">
        <v>37</v>
      </c>
      <c r="F50" t="s">
        <v>37</v>
      </c>
      <c r="G50" t="s">
        <v>37</v>
      </c>
      <c r="H50" t="s">
        <v>38</v>
      </c>
    </row>
    <row r="51" spans="1:8" x14ac:dyDescent="0.45">
      <c r="A51" t="s">
        <v>15</v>
      </c>
      <c r="B51">
        <v>17</v>
      </c>
      <c r="C51" t="s">
        <v>1172</v>
      </c>
      <c r="D51">
        <v>37.549999999999997</v>
      </c>
      <c r="E51" t="s">
        <v>37</v>
      </c>
      <c r="F51" t="s">
        <v>37</v>
      </c>
      <c r="G51" t="s">
        <v>37</v>
      </c>
      <c r="H51" t="s">
        <v>38</v>
      </c>
    </row>
    <row r="52" spans="1:8" x14ac:dyDescent="0.45">
      <c r="A52" t="s">
        <v>15</v>
      </c>
      <c r="B52">
        <v>17</v>
      </c>
      <c r="C52" t="s">
        <v>1173</v>
      </c>
      <c r="D52">
        <v>35.6</v>
      </c>
      <c r="E52" t="s">
        <v>37</v>
      </c>
      <c r="F52" t="s">
        <v>37</v>
      </c>
      <c r="G52" t="s">
        <v>37</v>
      </c>
      <c r="H52" t="s">
        <v>38</v>
      </c>
    </row>
    <row r="53" spans="1:8" x14ac:dyDescent="0.45">
      <c r="A53" t="s">
        <v>15</v>
      </c>
      <c r="B53">
        <v>18</v>
      </c>
      <c r="C53" t="s">
        <v>1174</v>
      </c>
      <c r="D53">
        <v>35.53</v>
      </c>
      <c r="E53" t="s">
        <v>37</v>
      </c>
      <c r="F53" t="s">
        <v>37</v>
      </c>
      <c r="G53" t="s">
        <v>37</v>
      </c>
      <c r="H53" t="s">
        <v>38</v>
      </c>
    </row>
    <row r="54" spans="1:8" x14ac:dyDescent="0.45">
      <c r="A54" t="s">
        <v>15</v>
      </c>
      <c r="B54">
        <v>18</v>
      </c>
      <c r="C54" t="s">
        <v>1175</v>
      </c>
      <c r="D54">
        <v>37.700000000000003</v>
      </c>
      <c r="E54" t="s">
        <v>37</v>
      </c>
      <c r="F54" t="s">
        <v>37</v>
      </c>
      <c r="G54" t="s">
        <v>37</v>
      </c>
      <c r="H54" t="s">
        <v>38</v>
      </c>
    </row>
    <row r="55" spans="1:8" x14ac:dyDescent="0.45">
      <c r="A55" t="s">
        <v>15</v>
      </c>
      <c r="B55">
        <v>18</v>
      </c>
      <c r="C55" t="s">
        <v>1176</v>
      </c>
      <c r="D55">
        <v>36.82</v>
      </c>
      <c r="E55" t="s">
        <v>37</v>
      </c>
      <c r="F55" t="s">
        <v>37</v>
      </c>
      <c r="G55" t="s">
        <v>37</v>
      </c>
      <c r="H55" t="s">
        <v>38</v>
      </c>
    </row>
    <row r="56" spans="1:8" x14ac:dyDescent="0.45">
      <c r="A56" t="s">
        <v>15</v>
      </c>
      <c r="B56">
        <v>19</v>
      </c>
      <c r="C56" t="s">
        <v>1177</v>
      </c>
      <c r="D56">
        <v>37.14</v>
      </c>
      <c r="E56" t="s">
        <v>37</v>
      </c>
      <c r="F56" t="s">
        <v>37</v>
      </c>
      <c r="G56" t="s">
        <v>37</v>
      </c>
      <c r="H56" t="s">
        <v>38</v>
      </c>
    </row>
    <row r="57" spans="1:8" x14ac:dyDescent="0.45">
      <c r="A57" t="s">
        <v>15</v>
      </c>
      <c r="B57">
        <v>19</v>
      </c>
      <c r="C57" t="s">
        <v>1178</v>
      </c>
      <c r="D57" t="s">
        <v>9</v>
      </c>
      <c r="E57" t="s">
        <v>37</v>
      </c>
      <c r="F57" t="s">
        <v>37</v>
      </c>
      <c r="G57" t="s">
        <v>37</v>
      </c>
      <c r="H57" t="s">
        <v>38</v>
      </c>
    </row>
    <row r="58" spans="1:8" x14ac:dyDescent="0.45">
      <c r="A58" t="s">
        <v>15</v>
      </c>
      <c r="B58">
        <v>19</v>
      </c>
      <c r="C58" t="s">
        <v>1179</v>
      </c>
      <c r="D58" t="s">
        <v>9</v>
      </c>
      <c r="E58" t="s">
        <v>37</v>
      </c>
      <c r="F58" t="s">
        <v>37</v>
      </c>
      <c r="G58" t="s">
        <v>37</v>
      </c>
      <c r="H58" t="s">
        <v>38</v>
      </c>
    </row>
    <row r="59" spans="1:8" x14ac:dyDescent="0.45">
      <c r="A59" t="s">
        <v>15</v>
      </c>
      <c r="B59">
        <v>20</v>
      </c>
      <c r="C59" t="s">
        <v>1180</v>
      </c>
      <c r="D59" t="s">
        <v>9</v>
      </c>
      <c r="E59" t="s">
        <v>37</v>
      </c>
      <c r="F59" t="s">
        <v>37</v>
      </c>
      <c r="G59" t="s">
        <v>37</v>
      </c>
      <c r="H59" t="s">
        <v>38</v>
      </c>
    </row>
    <row r="60" spans="1:8" x14ac:dyDescent="0.45">
      <c r="A60" t="s">
        <v>15</v>
      </c>
      <c r="B60">
        <v>20</v>
      </c>
      <c r="C60" t="s">
        <v>1181</v>
      </c>
      <c r="D60">
        <v>36.57</v>
      </c>
      <c r="E60" t="s">
        <v>37</v>
      </c>
      <c r="F60" t="s">
        <v>37</v>
      </c>
      <c r="G60" t="s">
        <v>37</v>
      </c>
      <c r="H60" t="s">
        <v>38</v>
      </c>
    </row>
    <row r="61" spans="1:8" x14ac:dyDescent="0.45">
      <c r="A61" t="s">
        <v>15</v>
      </c>
      <c r="B61">
        <v>20</v>
      </c>
      <c r="C61" t="s">
        <v>1182</v>
      </c>
      <c r="D61">
        <v>37.85</v>
      </c>
      <c r="E61" t="s">
        <v>37</v>
      </c>
      <c r="F61" t="s">
        <v>37</v>
      </c>
      <c r="G61" t="s">
        <v>37</v>
      </c>
      <c r="H61" t="s">
        <v>38</v>
      </c>
    </row>
    <row r="62" spans="1:8" x14ac:dyDescent="0.45">
      <c r="A62" t="s">
        <v>15</v>
      </c>
      <c r="B62">
        <v>21</v>
      </c>
      <c r="C62" t="s">
        <v>1183</v>
      </c>
      <c r="D62">
        <v>39.33</v>
      </c>
      <c r="E62" t="s">
        <v>37</v>
      </c>
      <c r="F62" t="s">
        <v>37</v>
      </c>
      <c r="G62" t="s">
        <v>37</v>
      </c>
      <c r="H62" t="s">
        <v>38</v>
      </c>
    </row>
    <row r="63" spans="1:8" x14ac:dyDescent="0.45">
      <c r="A63" t="s">
        <v>15</v>
      </c>
      <c r="B63">
        <v>21</v>
      </c>
      <c r="C63" t="s">
        <v>1184</v>
      </c>
      <c r="D63">
        <v>37.4</v>
      </c>
      <c r="E63" t="s">
        <v>37</v>
      </c>
      <c r="F63" t="s">
        <v>37</v>
      </c>
      <c r="G63" t="s">
        <v>37</v>
      </c>
      <c r="H63" t="s">
        <v>38</v>
      </c>
    </row>
    <row r="64" spans="1:8" x14ac:dyDescent="0.45">
      <c r="A64" t="s">
        <v>15</v>
      </c>
      <c r="B64">
        <v>21</v>
      </c>
      <c r="C64" t="s">
        <v>1185</v>
      </c>
      <c r="D64" t="s">
        <v>9</v>
      </c>
      <c r="E64" t="s">
        <v>37</v>
      </c>
      <c r="F64" t="s">
        <v>37</v>
      </c>
      <c r="G64" t="s">
        <v>37</v>
      </c>
      <c r="H64" t="s">
        <v>38</v>
      </c>
    </row>
    <row r="65" spans="1:8" x14ac:dyDescent="0.45">
      <c r="A65" t="s">
        <v>15</v>
      </c>
      <c r="B65">
        <v>22</v>
      </c>
      <c r="C65" t="s">
        <v>1186</v>
      </c>
      <c r="D65" t="s">
        <v>9</v>
      </c>
      <c r="E65" t="s">
        <v>37</v>
      </c>
      <c r="F65" t="s">
        <v>37</v>
      </c>
      <c r="G65" t="s">
        <v>37</v>
      </c>
      <c r="H65" t="s">
        <v>38</v>
      </c>
    </row>
    <row r="66" spans="1:8" x14ac:dyDescent="0.45">
      <c r="A66" t="s">
        <v>15</v>
      </c>
      <c r="B66">
        <v>22</v>
      </c>
      <c r="C66" t="s">
        <v>1187</v>
      </c>
      <c r="D66">
        <v>35.83</v>
      </c>
      <c r="E66" t="s">
        <v>37</v>
      </c>
      <c r="F66" t="s">
        <v>37</v>
      </c>
      <c r="G66" t="s">
        <v>37</v>
      </c>
      <c r="H66" t="s">
        <v>38</v>
      </c>
    </row>
    <row r="67" spans="1:8" x14ac:dyDescent="0.45">
      <c r="A67" t="s">
        <v>15</v>
      </c>
      <c r="B67">
        <v>22</v>
      </c>
      <c r="C67" t="s">
        <v>1188</v>
      </c>
      <c r="D67">
        <v>37.840000000000003</v>
      </c>
      <c r="E67" t="s">
        <v>37</v>
      </c>
      <c r="F67" t="s">
        <v>37</v>
      </c>
      <c r="G67" t="s">
        <v>37</v>
      </c>
      <c r="H67" t="s">
        <v>38</v>
      </c>
    </row>
    <row r="68" spans="1:8" x14ac:dyDescent="0.45">
      <c r="A68" t="s">
        <v>15</v>
      </c>
      <c r="B68">
        <v>23</v>
      </c>
      <c r="C68" t="s">
        <v>1189</v>
      </c>
      <c r="D68">
        <v>35.78</v>
      </c>
      <c r="E68" t="s">
        <v>37</v>
      </c>
      <c r="F68" t="s">
        <v>37</v>
      </c>
      <c r="G68" t="s">
        <v>37</v>
      </c>
      <c r="H68" t="s">
        <v>38</v>
      </c>
    </row>
    <row r="69" spans="1:8" x14ac:dyDescent="0.45">
      <c r="A69" t="s">
        <v>15</v>
      </c>
      <c r="B69">
        <v>23</v>
      </c>
      <c r="C69" t="s">
        <v>1190</v>
      </c>
      <c r="D69">
        <v>36.36</v>
      </c>
      <c r="E69" t="s">
        <v>37</v>
      </c>
      <c r="F69" t="s">
        <v>37</v>
      </c>
      <c r="G69" t="s">
        <v>37</v>
      </c>
      <c r="H69" t="s">
        <v>38</v>
      </c>
    </row>
    <row r="70" spans="1:8" x14ac:dyDescent="0.45">
      <c r="A70" t="s">
        <v>15</v>
      </c>
      <c r="B70">
        <v>23</v>
      </c>
      <c r="C70" t="s">
        <v>1191</v>
      </c>
      <c r="D70">
        <v>35.07</v>
      </c>
      <c r="E70" t="s">
        <v>37</v>
      </c>
      <c r="F70" t="s">
        <v>37</v>
      </c>
      <c r="G70" t="s">
        <v>37</v>
      </c>
      <c r="H70" t="s">
        <v>38</v>
      </c>
    </row>
    <row r="71" spans="1:8" x14ac:dyDescent="0.45">
      <c r="A71" t="s">
        <v>15</v>
      </c>
      <c r="B71">
        <v>24</v>
      </c>
      <c r="C71" t="s">
        <v>1192</v>
      </c>
      <c r="D71">
        <v>37.17</v>
      </c>
      <c r="E71" t="s">
        <v>37</v>
      </c>
      <c r="F71" t="s">
        <v>37</v>
      </c>
      <c r="G71" t="s">
        <v>37</v>
      </c>
      <c r="H71" t="s">
        <v>38</v>
      </c>
    </row>
    <row r="72" spans="1:8" x14ac:dyDescent="0.45">
      <c r="A72" t="s">
        <v>15</v>
      </c>
      <c r="B72">
        <v>24</v>
      </c>
      <c r="C72" t="s">
        <v>1193</v>
      </c>
      <c r="D72">
        <v>36.65</v>
      </c>
      <c r="E72" t="s">
        <v>37</v>
      </c>
      <c r="F72" t="s">
        <v>37</v>
      </c>
      <c r="G72" t="s">
        <v>37</v>
      </c>
      <c r="H72" t="s">
        <v>38</v>
      </c>
    </row>
    <row r="73" spans="1:8" x14ac:dyDescent="0.45">
      <c r="A73" t="s">
        <v>15</v>
      </c>
      <c r="B73">
        <v>24</v>
      </c>
      <c r="C73" t="s">
        <v>1194</v>
      </c>
      <c r="D73">
        <v>37.270000000000003</v>
      </c>
      <c r="E73" t="s">
        <v>37</v>
      </c>
      <c r="F73" t="s">
        <v>37</v>
      </c>
      <c r="G73" t="s">
        <v>37</v>
      </c>
      <c r="H73" t="s">
        <v>38</v>
      </c>
    </row>
    <row r="74" spans="1:8" x14ac:dyDescent="0.45">
      <c r="A74" t="s">
        <v>15</v>
      </c>
      <c r="B74">
        <v>25</v>
      </c>
      <c r="C74" t="s">
        <v>1195</v>
      </c>
      <c r="D74">
        <v>37.36</v>
      </c>
      <c r="E74" t="s">
        <v>37</v>
      </c>
      <c r="F74" t="s">
        <v>37</v>
      </c>
      <c r="G74" t="s">
        <v>37</v>
      </c>
      <c r="H74" t="s">
        <v>38</v>
      </c>
    </row>
    <row r="75" spans="1:8" x14ac:dyDescent="0.45">
      <c r="A75" t="s">
        <v>15</v>
      </c>
      <c r="B75">
        <v>25</v>
      </c>
      <c r="C75" t="s">
        <v>1196</v>
      </c>
      <c r="D75">
        <v>36.69</v>
      </c>
      <c r="E75" t="s">
        <v>37</v>
      </c>
      <c r="F75" t="s">
        <v>37</v>
      </c>
      <c r="G75" t="s">
        <v>37</v>
      </c>
      <c r="H75" t="s">
        <v>38</v>
      </c>
    </row>
    <row r="76" spans="1:8" x14ac:dyDescent="0.45">
      <c r="A76" t="s">
        <v>15</v>
      </c>
      <c r="B76">
        <v>25</v>
      </c>
      <c r="C76" t="s">
        <v>1197</v>
      </c>
      <c r="D76" t="s">
        <v>9</v>
      </c>
      <c r="E76" t="s">
        <v>37</v>
      </c>
      <c r="F76" t="s">
        <v>37</v>
      </c>
      <c r="G76" t="s">
        <v>37</v>
      </c>
      <c r="H76" t="s">
        <v>38</v>
      </c>
    </row>
    <row r="77" spans="1:8" x14ac:dyDescent="0.45">
      <c r="A77" t="s">
        <v>15</v>
      </c>
      <c r="B77">
        <v>26</v>
      </c>
      <c r="C77" t="s">
        <v>1198</v>
      </c>
      <c r="D77">
        <v>34.799999999999997</v>
      </c>
      <c r="E77" t="s">
        <v>37</v>
      </c>
      <c r="F77" t="s">
        <v>37</v>
      </c>
      <c r="G77" t="s">
        <v>37</v>
      </c>
      <c r="H77" t="s">
        <v>38</v>
      </c>
    </row>
    <row r="78" spans="1:8" x14ac:dyDescent="0.45">
      <c r="A78" t="s">
        <v>15</v>
      </c>
      <c r="B78">
        <v>26</v>
      </c>
      <c r="C78" t="s">
        <v>1199</v>
      </c>
      <c r="D78">
        <v>36.07</v>
      </c>
      <c r="E78" t="s">
        <v>37</v>
      </c>
      <c r="F78" t="s">
        <v>37</v>
      </c>
      <c r="G78" t="s">
        <v>37</v>
      </c>
      <c r="H78" t="s">
        <v>38</v>
      </c>
    </row>
    <row r="79" spans="1:8" x14ac:dyDescent="0.45">
      <c r="A79" t="s">
        <v>15</v>
      </c>
      <c r="B79">
        <v>26</v>
      </c>
      <c r="C79" t="s">
        <v>1200</v>
      </c>
      <c r="D79">
        <v>36.619999999999997</v>
      </c>
      <c r="E79" t="s">
        <v>37</v>
      </c>
      <c r="F79" t="s">
        <v>37</v>
      </c>
      <c r="G79" t="s">
        <v>37</v>
      </c>
      <c r="H79" t="s">
        <v>38</v>
      </c>
    </row>
    <row r="80" spans="1:8" x14ac:dyDescent="0.45">
      <c r="A80" t="s">
        <v>15</v>
      </c>
      <c r="B80">
        <v>27</v>
      </c>
      <c r="C80" t="s">
        <v>1201</v>
      </c>
      <c r="D80" t="s">
        <v>9</v>
      </c>
      <c r="E80" t="s">
        <v>37</v>
      </c>
      <c r="F80" t="s">
        <v>37</v>
      </c>
      <c r="G80" t="s">
        <v>37</v>
      </c>
      <c r="H80" t="s">
        <v>38</v>
      </c>
    </row>
    <row r="81" spans="1:8" x14ac:dyDescent="0.45">
      <c r="A81" t="s">
        <v>15</v>
      </c>
      <c r="B81">
        <v>27</v>
      </c>
      <c r="C81" t="s">
        <v>1202</v>
      </c>
      <c r="D81">
        <v>36.119999999999997</v>
      </c>
      <c r="E81" t="s">
        <v>37</v>
      </c>
      <c r="F81" t="s">
        <v>37</v>
      </c>
      <c r="G81" t="s">
        <v>37</v>
      </c>
      <c r="H81" t="s">
        <v>38</v>
      </c>
    </row>
    <row r="82" spans="1:8" x14ac:dyDescent="0.45">
      <c r="A82" t="s">
        <v>15</v>
      </c>
      <c r="B82">
        <v>27</v>
      </c>
      <c r="C82" t="s">
        <v>1203</v>
      </c>
      <c r="D82" t="s">
        <v>9</v>
      </c>
      <c r="E82" t="s">
        <v>37</v>
      </c>
      <c r="F82" t="s">
        <v>37</v>
      </c>
      <c r="G82" t="s">
        <v>37</v>
      </c>
      <c r="H82" t="s">
        <v>38</v>
      </c>
    </row>
    <row r="83" spans="1:8" x14ac:dyDescent="0.45">
      <c r="A83" t="s">
        <v>15</v>
      </c>
      <c r="B83">
        <v>28</v>
      </c>
      <c r="C83" t="s">
        <v>1204</v>
      </c>
      <c r="D83">
        <v>36.950000000000003</v>
      </c>
      <c r="E83" t="s">
        <v>37</v>
      </c>
      <c r="F83" t="s">
        <v>37</v>
      </c>
      <c r="G83" t="s">
        <v>37</v>
      </c>
      <c r="H83" t="s">
        <v>38</v>
      </c>
    </row>
    <row r="84" spans="1:8" x14ac:dyDescent="0.45">
      <c r="A84" t="s">
        <v>15</v>
      </c>
      <c r="B84">
        <v>28</v>
      </c>
      <c r="C84" t="s">
        <v>1205</v>
      </c>
      <c r="D84">
        <v>36.450000000000003</v>
      </c>
      <c r="E84" t="s">
        <v>37</v>
      </c>
      <c r="F84" t="s">
        <v>37</v>
      </c>
      <c r="G84" t="s">
        <v>37</v>
      </c>
      <c r="H84" t="s">
        <v>38</v>
      </c>
    </row>
    <row r="85" spans="1:8" x14ac:dyDescent="0.45">
      <c r="A85" t="s">
        <v>15</v>
      </c>
      <c r="B85">
        <v>28</v>
      </c>
      <c r="C85" t="s">
        <v>1206</v>
      </c>
      <c r="D85" t="s">
        <v>9</v>
      </c>
      <c r="E85" t="s">
        <v>37</v>
      </c>
      <c r="F85" t="s">
        <v>37</v>
      </c>
      <c r="G85" t="s">
        <v>37</v>
      </c>
      <c r="H85" t="s">
        <v>38</v>
      </c>
    </row>
    <row r="86" spans="1:8" x14ac:dyDescent="0.45">
      <c r="A86" t="s">
        <v>15</v>
      </c>
      <c r="B86">
        <v>29</v>
      </c>
      <c r="C86" t="s">
        <v>1207</v>
      </c>
      <c r="D86">
        <v>35.81</v>
      </c>
      <c r="E86" t="s">
        <v>37</v>
      </c>
      <c r="F86" t="s">
        <v>37</v>
      </c>
      <c r="G86" t="s">
        <v>37</v>
      </c>
      <c r="H86" t="s">
        <v>38</v>
      </c>
    </row>
    <row r="87" spans="1:8" x14ac:dyDescent="0.45">
      <c r="A87" t="s">
        <v>15</v>
      </c>
      <c r="B87">
        <v>29</v>
      </c>
      <c r="C87" t="s">
        <v>1208</v>
      </c>
      <c r="D87" t="s">
        <v>9</v>
      </c>
      <c r="E87" t="s">
        <v>37</v>
      </c>
      <c r="F87" t="s">
        <v>37</v>
      </c>
      <c r="G87" t="s">
        <v>37</v>
      </c>
      <c r="H87" t="s">
        <v>38</v>
      </c>
    </row>
    <row r="88" spans="1:8" x14ac:dyDescent="0.45">
      <c r="A88" t="s">
        <v>15</v>
      </c>
      <c r="B88">
        <v>29</v>
      </c>
      <c r="C88" t="s">
        <v>1209</v>
      </c>
      <c r="D88">
        <v>34.75</v>
      </c>
      <c r="E88" t="s">
        <v>37</v>
      </c>
      <c r="F88" t="s">
        <v>37</v>
      </c>
      <c r="G88" t="s">
        <v>37</v>
      </c>
      <c r="H88" t="s">
        <v>38</v>
      </c>
    </row>
    <row r="89" spans="1:8" x14ac:dyDescent="0.45">
      <c r="A89" t="s">
        <v>7</v>
      </c>
      <c r="B89" t="s">
        <v>7</v>
      </c>
      <c r="C89" t="s">
        <v>7</v>
      </c>
      <c r="D89" t="s">
        <v>9</v>
      </c>
      <c r="E89" t="s">
        <v>37</v>
      </c>
      <c r="F89" t="s">
        <v>37</v>
      </c>
      <c r="G89" t="s">
        <v>37</v>
      </c>
      <c r="H89" t="s">
        <v>38</v>
      </c>
    </row>
    <row r="90" spans="1:8" x14ac:dyDescent="0.45">
      <c r="A90" t="s">
        <v>7</v>
      </c>
      <c r="B90" t="s">
        <v>7</v>
      </c>
      <c r="C90" t="s">
        <v>7</v>
      </c>
      <c r="D90" t="s">
        <v>9</v>
      </c>
      <c r="E90" t="s">
        <v>37</v>
      </c>
      <c r="F90" t="s">
        <v>37</v>
      </c>
      <c r="G90" t="s">
        <v>37</v>
      </c>
      <c r="H90" t="s">
        <v>38</v>
      </c>
    </row>
    <row r="91" spans="1:8" x14ac:dyDescent="0.45">
      <c r="A91" t="s">
        <v>7</v>
      </c>
      <c r="B91" t="s">
        <v>7</v>
      </c>
      <c r="C91" t="s">
        <v>7</v>
      </c>
      <c r="D91" t="s">
        <v>9</v>
      </c>
      <c r="E91" t="s">
        <v>37</v>
      </c>
      <c r="F91" t="s">
        <v>37</v>
      </c>
      <c r="G91" t="s">
        <v>37</v>
      </c>
      <c r="H91" t="s">
        <v>38</v>
      </c>
    </row>
    <row r="92" spans="1:8" x14ac:dyDescent="0.45">
      <c r="A92" t="s">
        <v>11</v>
      </c>
      <c r="B92" t="s">
        <v>1238</v>
      </c>
      <c r="C92" t="s">
        <v>321</v>
      </c>
      <c r="D92" t="s">
        <v>9</v>
      </c>
      <c r="E92" t="s">
        <v>147</v>
      </c>
      <c r="F92" t="s">
        <v>37</v>
      </c>
      <c r="G92" t="s">
        <v>37</v>
      </c>
      <c r="H92" t="s">
        <v>38</v>
      </c>
    </row>
    <row r="93" spans="1:8" x14ac:dyDescent="0.45">
      <c r="A93" t="s">
        <v>11</v>
      </c>
      <c r="B93" t="s">
        <v>1238</v>
      </c>
      <c r="C93" t="s">
        <v>321</v>
      </c>
      <c r="D93">
        <v>36.07</v>
      </c>
      <c r="E93" t="s">
        <v>42</v>
      </c>
      <c r="F93" t="s">
        <v>37</v>
      </c>
      <c r="G93" t="s">
        <v>37</v>
      </c>
      <c r="H93" t="s">
        <v>38</v>
      </c>
    </row>
    <row r="94" spans="1:8" x14ac:dyDescent="0.45">
      <c r="A94" t="s">
        <v>11</v>
      </c>
      <c r="B94" t="s">
        <v>1238</v>
      </c>
      <c r="C94" t="s">
        <v>321</v>
      </c>
      <c r="D94">
        <v>38.909999999999997</v>
      </c>
      <c r="E94" t="s">
        <v>42</v>
      </c>
      <c r="F94" t="s">
        <v>37</v>
      </c>
      <c r="G94" t="s">
        <v>37</v>
      </c>
      <c r="H94" t="s">
        <v>38</v>
      </c>
    </row>
    <row r="95" spans="1:8" x14ac:dyDescent="0.45">
      <c r="A95" t="s">
        <v>11</v>
      </c>
      <c r="B95" t="s">
        <v>1257</v>
      </c>
      <c r="C95" t="s">
        <v>181</v>
      </c>
      <c r="D95">
        <v>22.62</v>
      </c>
      <c r="E95" t="s">
        <v>42</v>
      </c>
      <c r="F95" t="s">
        <v>37</v>
      </c>
      <c r="G95" t="s">
        <v>37</v>
      </c>
      <c r="H95" t="s">
        <v>38</v>
      </c>
    </row>
    <row r="96" spans="1:8" x14ac:dyDescent="0.45">
      <c r="A96" t="s">
        <v>11</v>
      </c>
      <c r="B96" t="s">
        <v>1257</v>
      </c>
      <c r="C96" t="s">
        <v>181</v>
      </c>
      <c r="D96">
        <v>22.39</v>
      </c>
      <c r="E96" t="s">
        <v>42</v>
      </c>
      <c r="F96" t="s">
        <v>37</v>
      </c>
      <c r="G96" t="s">
        <v>37</v>
      </c>
      <c r="H96" t="s">
        <v>38</v>
      </c>
    </row>
    <row r="97" spans="1:8" x14ac:dyDescent="0.45">
      <c r="A97" t="s">
        <v>11</v>
      </c>
      <c r="B97" t="s">
        <v>1257</v>
      </c>
      <c r="C97" t="s">
        <v>181</v>
      </c>
      <c r="D97">
        <v>22.67</v>
      </c>
      <c r="E97" t="s">
        <v>42</v>
      </c>
      <c r="F97" t="s">
        <v>37</v>
      </c>
      <c r="G97" t="s">
        <v>37</v>
      </c>
      <c r="H97" t="s">
        <v>38</v>
      </c>
    </row>
  </sheetData>
  <sortState xmlns:xlrd2="http://schemas.microsoft.com/office/spreadsheetml/2017/richdata2" ref="A2:H97">
    <sortCondition ref="B2:B97"/>
  </sortState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EEEAA-3479-4A00-9F8F-04DF61120660}">
  <dimension ref="A1:H25"/>
  <sheetViews>
    <sheetView zoomScaleNormal="100" workbookViewId="0">
      <selection activeCell="C5" sqref="C5:D16"/>
    </sheetView>
  </sheetViews>
  <sheetFormatPr defaultRowHeight="14.25" x14ac:dyDescent="0.45"/>
  <cols>
    <col min="5" max="5" width="24.265625" customWidth="1"/>
  </cols>
  <sheetData>
    <row r="1" spans="1:8" x14ac:dyDescent="0.45">
      <c r="A1" t="s">
        <v>1225</v>
      </c>
      <c r="B1" t="s">
        <v>1226</v>
      </c>
      <c r="C1" t="s">
        <v>756</v>
      </c>
      <c r="D1" t="s">
        <v>1227</v>
      </c>
      <c r="E1" t="s">
        <v>1228</v>
      </c>
      <c r="F1" t="s">
        <v>1229</v>
      </c>
      <c r="G1" t="s">
        <v>1230</v>
      </c>
      <c r="H1" t="s">
        <v>1231</v>
      </c>
    </row>
    <row r="2" spans="1:8" x14ac:dyDescent="0.45">
      <c r="A2" t="s">
        <v>15</v>
      </c>
      <c r="B2">
        <v>1</v>
      </c>
      <c r="C2" t="s">
        <v>1210</v>
      </c>
      <c r="D2" t="s">
        <v>9</v>
      </c>
      <c r="E2" t="s">
        <v>37</v>
      </c>
      <c r="F2" t="s">
        <v>37</v>
      </c>
      <c r="G2" t="s">
        <v>37</v>
      </c>
      <c r="H2" t="s">
        <v>38</v>
      </c>
    </row>
    <row r="3" spans="1:8" x14ac:dyDescent="0.45">
      <c r="A3" t="s">
        <v>15</v>
      </c>
      <c r="B3">
        <v>1</v>
      </c>
      <c r="C3" t="s">
        <v>1211</v>
      </c>
      <c r="D3" t="s">
        <v>9</v>
      </c>
      <c r="E3" t="s">
        <v>37</v>
      </c>
      <c r="F3" t="s">
        <v>37</v>
      </c>
      <c r="G3" t="s">
        <v>37</v>
      </c>
      <c r="H3" t="s">
        <v>38</v>
      </c>
    </row>
    <row r="4" spans="1:8" x14ac:dyDescent="0.45">
      <c r="A4" t="s">
        <v>15</v>
      </c>
      <c r="B4">
        <v>1</v>
      </c>
      <c r="C4" t="s">
        <v>1212</v>
      </c>
      <c r="D4" t="s">
        <v>9</v>
      </c>
      <c r="E4" t="s">
        <v>37</v>
      </c>
      <c r="F4" t="s">
        <v>37</v>
      </c>
      <c r="G4" t="s">
        <v>37</v>
      </c>
      <c r="H4" t="s">
        <v>38</v>
      </c>
    </row>
    <row r="5" spans="1:8" x14ac:dyDescent="0.45">
      <c r="A5" t="s">
        <v>15</v>
      </c>
      <c r="B5">
        <v>2</v>
      </c>
      <c r="C5" t="s">
        <v>1213</v>
      </c>
      <c r="D5">
        <v>37.21</v>
      </c>
      <c r="E5" t="s">
        <v>37</v>
      </c>
      <c r="F5" t="s">
        <v>37</v>
      </c>
      <c r="G5" t="s">
        <v>37</v>
      </c>
      <c r="H5" t="s">
        <v>38</v>
      </c>
    </row>
    <row r="6" spans="1:8" x14ac:dyDescent="0.45">
      <c r="A6" t="s">
        <v>15</v>
      </c>
      <c r="B6">
        <v>2</v>
      </c>
      <c r="C6" t="s">
        <v>1214</v>
      </c>
      <c r="D6">
        <v>37.020000000000003</v>
      </c>
      <c r="E6" t="s">
        <v>37</v>
      </c>
      <c r="F6" t="s">
        <v>37</v>
      </c>
      <c r="G6" t="s">
        <v>37</v>
      </c>
      <c r="H6" t="s">
        <v>38</v>
      </c>
    </row>
    <row r="7" spans="1:8" x14ac:dyDescent="0.45">
      <c r="A7" t="s">
        <v>15</v>
      </c>
      <c r="B7">
        <v>2</v>
      </c>
      <c r="C7" t="s">
        <v>1215</v>
      </c>
      <c r="D7">
        <v>37.92</v>
      </c>
      <c r="E7" t="s">
        <v>37</v>
      </c>
      <c r="F7" t="s">
        <v>37</v>
      </c>
      <c r="G7" t="s">
        <v>37</v>
      </c>
      <c r="H7" t="s">
        <v>38</v>
      </c>
    </row>
    <row r="8" spans="1:8" x14ac:dyDescent="0.45">
      <c r="A8" t="s">
        <v>15</v>
      </c>
      <c r="B8">
        <v>3</v>
      </c>
      <c r="C8" t="s">
        <v>1216</v>
      </c>
      <c r="D8">
        <v>39.090000000000003</v>
      </c>
      <c r="E8" t="s">
        <v>37</v>
      </c>
      <c r="F8" t="s">
        <v>37</v>
      </c>
      <c r="G8" t="s">
        <v>37</v>
      </c>
      <c r="H8" t="s">
        <v>38</v>
      </c>
    </row>
    <row r="9" spans="1:8" x14ac:dyDescent="0.45">
      <c r="A9" t="s">
        <v>15</v>
      </c>
      <c r="B9">
        <v>3</v>
      </c>
      <c r="C9" t="s">
        <v>1217</v>
      </c>
      <c r="D9" t="s">
        <v>9</v>
      </c>
      <c r="E9" t="s">
        <v>37</v>
      </c>
      <c r="F9" t="s">
        <v>37</v>
      </c>
      <c r="G9" t="s">
        <v>37</v>
      </c>
      <c r="H9" t="s">
        <v>38</v>
      </c>
    </row>
    <row r="10" spans="1:8" x14ac:dyDescent="0.45">
      <c r="A10" t="s">
        <v>15</v>
      </c>
      <c r="B10">
        <v>3</v>
      </c>
      <c r="C10" t="s">
        <v>1218</v>
      </c>
      <c r="D10" t="s">
        <v>9</v>
      </c>
      <c r="E10" t="s">
        <v>37</v>
      </c>
      <c r="F10" t="s">
        <v>37</v>
      </c>
      <c r="G10" t="s">
        <v>37</v>
      </c>
      <c r="H10" t="s">
        <v>38</v>
      </c>
    </row>
    <row r="11" spans="1:8" x14ac:dyDescent="0.45">
      <c r="A11" t="s">
        <v>15</v>
      </c>
      <c r="B11">
        <v>4</v>
      </c>
      <c r="C11" t="s">
        <v>1219</v>
      </c>
      <c r="D11" t="s">
        <v>9</v>
      </c>
      <c r="E11" t="s">
        <v>37</v>
      </c>
      <c r="F11" t="s">
        <v>37</v>
      </c>
      <c r="G11" t="s">
        <v>37</v>
      </c>
      <c r="H11" t="s">
        <v>38</v>
      </c>
    </row>
    <row r="12" spans="1:8" x14ac:dyDescent="0.45">
      <c r="A12" t="s">
        <v>15</v>
      </c>
      <c r="B12">
        <v>4</v>
      </c>
      <c r="C12" t="s">
        <v>1220</v>
      </c>
      <c r="D12">
        <v>39.07</v>
      </c>
      <c r="E12" t="s">
        <v>37</v>
      </c>
      <c r="F12" t="s">
        <v>37</v>
      </c>
      <c r="G12" t="s">
        <v>37</v>
      </c>
      <c r="H12" t="s">
        <v>38</v>
      </c>
    </row>
    <row r="13" spans="1:8" x14ac:dyDescent="0.45">
      <c r="A13" t="s">
        <v>15</v>
      </c>
      <c r="B13">
        <v>4</v>
      </c>
      <c r="C13" t="s">
        <v>1221</v>
      </c>
      <c r="D13">
        <v>37.11</v>
      </c>
      <c r="E13" t="s">
        <v>37</v>
      </c>
      <c r="F13" t="s">
        <v>37</v>
      </c>
      <c r="G13" t="s">
        <v>37</v>
      </c>
      <c r="H13" t="s">
        <v>38</v>
      </c>
    </row>
    <row r="14" spans="1:8" x14ac:dyDescent="0.45">
      <c r="A14" t="s">
        <v>15</v>
      </c>
      <c r="B14">
        <v>5</v>
      </c>
      <c r="C14" t="s">
        <v>1222</v>
      </c>
      <c r="D14">
        <v>38.71</v>
      </c>
      <c r="E14" t="s">
        <v>37</v>
      </c>
      <c r="F14" t="s">
        <v>37</v>
      </c>
      <c r="G14" t="s">
        <v>37</v>
      </c>
      <c r="H14" t="s">
        <v>38</v>
      </c>
    </row>
    <row r="15" spans="1:8" x14ac:dyDescent="0.45">
      <c r="A15" t="s">
        <v>15</v>
      </c>
      <c r="B15">
        <v>5</v>
      </c>
      <c r="C15" t="s">
        <v>1223</v>
      </c>
      <c r="D15">
        <v>38.380000000000003</v>
      </c>
      <c r="E15" t="s">
        <v>37</v>
      </c>
      <c r="F15" t="s">
        <v>37</v>
      </c>
      <c r="G15" t="s">
        <v>37</v>
      </c>
      <c r="H15" t="s">
        <v>38</v>
      </c>
    </row>
    <row r="16" spans="1:8" x14ac:dyDescent="0.45">
      <c r="A16" t="s">
        <v>15</v>
      </c>
      <c r="B16">
        <v>5</v>
      </c>
      <c r="C16" t="s">
        <v>1224</v>
      </c>
      <c r="D16" t="s">
        <v>9</v>
      </c>
      <c r="E16" t="s">
        <v>37</v>
      </c>
      <c r="F16" t="s">
        <v>37</v>
      </c>
      <c r="G16" t="s">
        <v>37</v>
      </c>
      <c r="H16" t="s">
        <v>38</v>
      </c>
    </row>
    <row r="17" spans="1:8" x14ac:dyDescent="0.45">
      <c r="A17" t="s">
        <v>7</v>
      </c>
      <c r="B17" t="s">
        <v>7</v>
      </c>
      <c r="C17" t="s">
        <v>7</v>
      </c>
      <c r="D17" t="s">
        <v>9</v>
      </c>
      <c r="E17" t="s">
        <v>37</v>
      </c>
      <c r="F17" t="s">
        <v>37</v>
      </c>
      <c r="G17" t="s">
        <v>37</v>
      </c>
      <c r="H17" t="s">
        <v>38</v>
      </c>
    </row>
    <row r="18" spans="1:8" x14ac:dyDescent="0.45">
      <c r="A18" t="s">
        <v>7</v>
      </c>
      <c r="B18" t="s">
        <v>7</v>
      </c>
      <c r="C18" t="s">
        <v>7</v>
      </c>
      <c r="D18" t="s">
        <v>9</v>
      </c>
      <c r="E18" t="s">
        <v>37</v>
      </c>
      <c r="F18" t="s">
        <v>37</v>
      </c>
      <c r="G18" t="s">
        <v>37</v>
      </c>
      <c r="H18" t="s">
        <v>38</v>
      </c>
    </row>
    <row r="19" spans="1:8" x14ac:dyDescent="0.45">
      <c r="A19" t="s">
        <v>7</v>
      </c>
      <c r="B19" t="s">
        <v>7</v>
      </c>
      <c r="C19" t="s">
        <v>7</v>
      </c>
      <c r="D19" t="s">
        <v>9</v>
      </c>
      <c r="E19" t="s">
        <v>37</v>
      </c>
      <c r="F19" t="s">
        <v>37</v>
      </c>
      <c r="G19" t="s">
        <v>37</v>
      </c>
      <c r="H19" t="s">
        <v>38</v>
      </c>
    </row>
    <row r="20" spans="1:8" x14ac:dyDescent="0.45">
      <c r="A20" t="s">
        <v>11</v>
      </c>
      <c r="B20" t="s">
        <v>859</v>
      </c>
      <c r="C20" t="s">
        <v>322</v>
      </c>
      <c r="D20">
        <v>27.61</v>
      </c>
      <c r="E20" t="s">
        <v>42</v>
      </c>
      <c r="F20" t="s">
        <v>37</v>
      </c>
      <c r="G20" t="s">
        <v>37</v>
      </c>
      <c r="H20" t="s">
        <v>38</v>
      </c>
    </row>
    <row r="21" spans="1:8" x14ac:dyDescent="0.45">
      <c r="A21" t="s">
        <v>11</v>
      </c>
      <c r="B21" t="s">
        <v>859</v>
      </c>
      <c r="C21" t="s">
        <v>322</v>
      </c>
      <c r="D21">
        <v>27.44</v>
      </c>
      <c r="E21" t="s">
        <v>42</v>
      </c>
      <c r="F21" t="s">
        <v>37</v>
      </c>
      <c r="G21" t="s">
        <v>37</v>
      </c>
      <c r="H21" t="s">
        <v>38</v>
      </c>
    </row>
    <row r="22" spans="1:8" x14ac:dyDescent="0.45">
      <c r="A22" t="s">
        <v>11</v>
      </c>
      <c r="B22" t="s">
        <v>859</v>
      </c>
      <c r="C22" t="s">
        <v>322</v>
      </c>
      <c r="D22">
        <v>27.95</v>
      </c>
      <c r="E22" t="s">
        <v>42</v>
      </c>
      <c r="F22" t="s">
        <v>37</v>
      </c>
      <c r="G22" t="s">
        <v>37</v>
      </c>
      <c r="H22" t="s">
        <v>38</v>
      </c>
    </row>
    <row r="23" spans="1:8" x14ac:dyDescent="0.45">
      <c r="A23" t="s">
        <v>11</v>
      </c>
      <c r="B23" t="s">
        <v>1258</v>
      </c>
      <c r="C23" t="s">
        <v>866</v>
      </c>
      <c r="D23">
        <v>9.84</v>
      </c>
      <c r="E23" t="s">
        <v>42</v>
      </c>
      <c r="F23" t="s">
        <v>37</v>
      </c>
      <c r="G23" t="s">
        <v>37</v>
      </c>
      <c r="H23" t="s">
        <v>38</v>
      </c>
    </row>
    <row r="24" spans="1:8" x14ac:dyDescent="0.45">
      <c r="A24" t="s">
        <v>11</v>
      </c>
      <c r="B24" t="s">
        <v>1258</v>
      </c>
      <c r="C24" t="s">
        <v>866</v>
      </c>
      <c r="D24">
        <v>9.81</v>
      </c>
      <c r="E24" t="s">
        <v>42</v>
      </c>
      <c r="F24" t="s">
        <v>37</v>
      </c>
      <c r="G24" t="s">
        <v>37</v>
      </c>
      <c r="H24" t="s">
        <v>38</v>
      </c>
    </row>
    <row r="25" spans="1:8" x14ac:dyDescent="0.45">
      <c r="A25" t="s">
        <v>11</v>
      </c>
      <c r="B25" t="s">
        <v>1258</v>
      </c>
      <c r="C25" t="s">
        <v>866</v>
      </c>
      <c r="D25">
        <v>10.029999999999999</v>
      </c>
      <c r="E25" t="s">
        <v>42</v>
      </c>
      <c r="F25" t="s">
        <v>37</v>
      </c>
      <c r="G25" t="s">
        <v>37</v>
      </c>
      <c r="H25" t="s">
        <v>38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2AF6-D905-4EEB-8135-D80AA17CDDEA}">
  <dimension ref="A1:P151"/>
  <sheetViews>
    <sheetView workbookViewId="0">
      <pane ySplit="1" topLeftCell="A2" activePane="bottomLeft" state="frozen"/>
      <selection pane="bottomLeft" activeCell="C27" sqref="C27"/>
    </sheetView>
  </sheetViews>
  <sheetFormatPr defaultRowHeight="14.25" x14ac:dyDescent="0.45"/>
  <cols>
    <col min="2" max="2" width="25.3984375" customWidth="1"/>
    <col min="3" max="3" width="11.6640625" customWidth="1"/>
    <col min="4" max="4" width="12.59765625" customWidth="1"/>
    <col min="5" max="5" width="15.265625" customWidth="1"/>
    <col min="6" max="6" width="15.86328125" customWidth="1"/>
    <col min="7" max="7" width="11.73046875" customWidth="1"/>
    <col min="12" max="12" width="12.3984375" customWidth="1"/>
    <col min="14" max="14" width="14.265625" customWidth="1"/>
    <col min="15" max="15" width="17.19921875" customWidth="1"/>
    <col min="16" max="16" width="15.19921875" customWidth="1"/>
  </cols>
  <sheetData>
    <row r="1" spans="1:16" x14ac:dyDescent="0.45">
      <c r="A1" t="s">
        <v>756</v>
      </c>
      <c r="B1" t="s">
        <v>1269</v>
      </c>
      <c r="C1" t="s">
        <v>765</v>
      </c>
      <c r="D1" t="s">
        <v>766</v>
      </c>
      <c r="E1" t="s">
        <v>767</v>
      </c>
      <c r="F1" t="s">
        <v>759</v>
      </c>
      <c r="G1" t="s">
        <v>760</v>
      </c>
      <c r="H1" t="s">
        <v>1259</v>
      </c>
      <c r="I1" t="s">
        <v>1260</v>
      </c>
      <c r="J1" t="s">
        <v>1261</v>
      </c>
      <c r="K1" t="s">
        <v>1268</v>
      </c>
      <c r="L1" t="s">
        <v>1270</v>
      </c>
      <c r="N1" t="s">
        <v>1376</v>
      </c>
      <c r="O1" t="s">
        <v>1377</v>
      </c>
      <c r="P1" t="s">
        <v>1378</v>
      </c>
    </row>
    <row r="2" spans="1:16" x14ac:dyDescent="0.45">
      <c r="A2" t="s">
        <v>297</v>
      </c>
      <c r="B2">
        <v>0</v>
      </c>
      <c r="C2">
        <v>0</v>
      </c>
      <c r="D2">
        <v>1</v>
      </c>
      <c r="E2">
        <v>1</v>
      </c>
      <c r="F2">
        <v>18.8</v>
      </c>
      <c r="G2">
        <v>4.8600000000000003</v>
      </c>
      <c r="H2">
        <v>35.78</v>
      </c>
      <c r="I2">
        <v>36.36</v>
      </c>
      <c r="J2">
        <v>35.07</v>
      </c>
      <c r="K2" cm="1">
        <f t="array" aca="1" ref="K2" ca="1">K2:K51=SUM(H2:J2)/3</f>
        <v>0</v>
      </c>
      <c r="L2">
        <v>1</v>
      </c>
      <c r="N2">
        <f ca="1">AVERAGE(K2:M2)</f>
        <v>36.845591763220433</v>
      </c>
      <c r="O2">
        <f ca="1">AVERAGE(L2:N2)</f>
        <v>37.785140350877192</v>
      </c>
      <c r="P2">
        <f ca="1">AVERAGE(M2:O2)</f>
        <v>37.586811594202899</v>
      </c>
    </row>
    <row r="3" spans="1:16" x14ac:dyDescent="0.45">
      <c r="A3" t="s">
        <v>303</v>
      </c>
      <c r="B3">
        <v>0</v>
      </c>
      <c r="C3">
        <v>0</v>
      </c>
      <c r="D3">
        <v>0</v>
      </c>
      <c r="E3">
        <v>1</v>
      </c>
      <c r="F3">
        <v>18.8</v>
      </c>
      <c r="G3">
        <v>6.62</v>
      </c>
      <c r="H3">
        <v>36.54</v>
      </c>
      <c r="I3">
        <v>35.82</v>
      </c>
      <c r="J3">
        <v>36.67</v>
      </c>
      <c r="K3">
        <f>SUM(H3:J3)/3</f>
        <v>36.343333333333334</v>
      </c>
      <c r="L3">
        <v>1</v>
      </c>
    </row>
    <row r="4" spans="1:16" x14ac:dyDescent="0.45">
      <c r="A4" t="s">
        <v>259</v>
      </c>
      <c r="B4">
        <v>0</v>
      </c>
      <c r="C4">
        <v>0</v>
      </c>
      <c r="D4">
        <v>0</v>
      </c>
      <c r="E4">
        <v>0</v>
      </c>
      <c r="F4">
        <v>18.8</v>
      </c>
      <c r="G4">
        <v>6.69</v>
      </c>
      <c r="H4" t="s">
        <v>1262</v>
      </c>
      <c r="I4" t="s">
        <v>1262</v>
      </c>
      <c r="J4" t="s">
        <v>1262</v>
      </c>
      <c r="K4">
        <v>0</v>
      </c>
      <c r="L4">
        <v>0</v>
      </c>
    </row>
    <row r="5" spans="1:16" x14ac:dyDescent="0.45">
      <c r="A5" t="s">
        <v>248</v>
      </c>
      <c r="B5">
        <v>0</v>
      </c>
      <c r="C5">
        <v>0</v>
      </c>
      <c r="D5">
        <v>0</v>
      </c>
      <c r="E5">
        <v>1</v>
      </c>
      <c r="F5">
        <v>18.8</v>
      </c>
      <c r="G5">
        <v>6.45</v>
      </c>
      <c r="H5" t="s">
        <v>9</v>
      </c>
      <c r="I5" t="s">
        <v>9</v>
      </c>
      <c r="J5">
        <v>39.18</v>
      </c>
      <c r="K5">
        <f>SUM(H5:J5)/1</f>
        <v>39.18</v>
      </c>
      <c r="L5">
        <v>0</v>
      </c>
    </row>
    <row r="6" spans="1:16" x14ac:dyDescent="0.45">
      <c r="A6" t="s">
        <v>300</v>
      </c>
      <c r="B6">
        <v>0</v>
      </c>
      <c r="C6">
        <v>0</v>
      </c>
      <c r="D6">
        <v>0</v>
      </c>
      <c r="E6">
        <v>0</v>
      </c>
      <c r="F6">
        <v>18.7</v>
      </c>
      <c r="G6">
        <v>6.29</v>
      </c>
      <c r="H6">
        <v>35.53</v>
      </c>
      <c r="I6">
        <v>37.700000000000003</v>
      </c>
      <c r="J6">
        <v>36.82</v>
      </c>
      <c r="K6">
        <f>SUM(H6:J6)/3</f>
        <v>36.683333333333337</v>
      </c>
      <c r="L6">
        <v>1</v>
      </c>
    </row>
    <row r="7" spans="1:16" x14ac:dyDescent="0.45">
      <c r="A7" t="s">
        <v>190</v>
      </c>
      <c r="B7">
        <v>0</v>
      </c>
      <c r="C7">
        <v>0</v>
      </c>
      <c r="D7">
        <v>0</v>
      </c>
      <c r="E7">
        <v>0</v>
      </c>
      <c r="F7">
        <v>18.7</v>
      </c>
      <c r="G7">
        <v>6.5</v>
      </c>
      <c r="H7" t="s">
        <v>1262</v>
      </c>
      <c r="I7" t="s">
        <v>1262</v>
      </c>
      <c r="J7">
        <v>38.44</v>
      </c>
      <c r="K7">
        <f>SUM(H7:J7)/1</f>
        <v>38.44</v>
      </c>
      <c r="L7">
        <v>0</v>
      </c>
    </row>
    <row r="8" spans="1:16" x14ac:dyDescent="0.45">
      <c r="A8" t="s">
        <v>252</v>
      </c>
      <c r="B8">
        <v>0</v>
      </c>
      <c r="C8">
        <v>0</v>
      </c>
      <c r="D8">
        <v>0</v>
      </c>
      <c r="E8">
        <v>0</v>
      </c>
      <c r="F8">
        <v>18.8</v>
      </c>
      <c r="G8">
        <v>6.31</v>
      </c>
      <c r="H8">
        <v>39.03</v>
      </c>
      <c r="I8" t="s">
        <v>1262</v>
      </c>
      <c r="J8">
        <v>39.22</v>
      </c>
      <c r="K8">
        <f>SUM(H8:J8)/2</f>
        <v>39.125</v>
      </c>
      <c r="L8">
        <v>0</v>
      </c>
    </row>
    <row r="9" spans="1:16" x14ac:dyDescent="0.45">
      <c r="A9" t="s">
        <v>207</v>
      </c>
      <c r="B9">
        <v>0</v>
      </c>
      <c r="C9">
        <v>0</v>
      </c>
      <c r="D9">
        <v>0</v>
      </c>
      <c r="E9">
        <v>0</v>
      </c>
      <c r="F9">
        <v>18.8</v>
      </c>
      <c r="G9">
        <v>6.29</v>
      </c>
      <c r="H9" t="s">
        <v>1262</v>
      </c>
      <c r="I9" t="s">
        <v>1262</v>
      </c>
      <c r="J9" t="s">
        <v>1262</v>
      </c>
      <c r="K9">
        <f t="shared" ref="K9:K15" si="0">SUM(H9:J9)/3</f>
        <v>0</v>
      </c>
      <c r="L9">
        <v>0</v>
      </c>
    </row>
    <row r="10" spans="1:16" x14ac:dyDescent="0.45">
      <c r="A10" t="s">
        <v>175</v>
      </c>
      <c r="B10">
        <v>0</v>
      </c>
      <c r="C10">
        <v>0</v>
      </c>
      <c r="D10">
        <v>0</v>
      </c>
      <c r="E10">
        <v>0</v>
      </c>
      <c r="F10">
        <v>18.7</v>
      </c>
      <c r="G10">
        <v>6.86</v>
      </c>
      <c r="H10">
        <v>35.1</v>
      </c>
      <c r="I10">
        <v>37.409999999999997</v>
      </c>
      <c r="J10">
        <v>36.72</v>
      </c>
      <c r="K10">
        <f t="shared" si="0"/>
        <v>36.409999999999997</v>
      </c>
      <c r="L10">
        <v>1</v>
      </c>
    </row>
    <row r="11" spans="1:16" x14ac:dyDescent="0.45">
      <c r="A11" t="s">
        <v>275</v>
      </c>
      <c r="B11">
        <v>0</v>
      </c>
      <c r="C11">
        <v>0</v>
      </c>
      <c r="D11">
        <v>0</v>
      </c>
      <c r="E11">
        <v>1</v>
      </c>
      <c r="F11">
        <v>18.600000000000001</v>
      </c>
      <c r="G11">
        <v>7.95</v>
      </c>
      <c r="H11">
        <v>36.36</v>
      </c>
      <c r="I11">
        <v>35.1</v>
      </c>
      <c r="J11">
        <v>35.299999999999997</v>
      </c>
      <c r="K11">
        <f t="shared" si="0"/>
        <v>35.586666666666666</v>
      </c>
      <c r="L11">
        <v>1</v>
      </c>
    </row>
    <row r="12" spans="1:16" x14ac:dyDescent="0.45">
      <c r="A12" t="s">
        <v>212</v>
      </c>
      <c r="B12">
        <v>0</v>
      </c>
      <c r="C12">
        <v>0</v>
      </c>
      <c r="D12">
        <v>0</v>
      </c>
      <c r="E12">
        <v>1</v>
      </c>
      <c r="F12">
        <v>18.5</v>
      </c>
      <c r="G12">
        <v>7.9</v>
      </c>
      <c r="H12">
        <v>35.869999999999997</v>
      </c>
      <c r="I12">
        <v>36.28</v>
      </c>
      <c r="J12">
        <v>38.08</v>
      </c>
      <c r="K12">
        <f t="shared" si="0"/>
        <v>36.743333333333332</v>
      </c>
      <c r="L12">
        <v>1</v>
      </c>
    </row>
    <row r="13" spans="1:16" x14ac:dyDescent="0.45">
      <c r="A13" t="s">
        <v>289</v>
      </c>
      <c r="B13">
        <v>0</v>
      </c>
      <c r="C13">
        <v>0</v>
      </c>
      <c r="D13">
        <v>0</v>
      </c>
      <c r="E13">
        <v>0</v>
      </c>
      <c r="F13">
        <v>18.5</v>
      </c>
      <c r="G13">
        <v>7.71</v>
      </c>
      <c r="H13">
        <v>36.71</v>
      </c>
      <c r="I13">
        <v>37.549999999999997</v>
      </c>
      <c r="J13">
        <v>35.6</v>
      </c>
      <c r="K13">
        <f t="shared" si="0"/>
        <v>36.619999999999997</v>
      </c>
      <c r="L13">
        <v>1</v>
      </c>
    </row>
    <row r="14" spans="1:16" x14ac:dyDescent="0.45">
      <c r="A14" t="s">
        <v>203</v>
      </c>
      <c r="B14">
        <v>0</v>
      </c>
      <c r="C14">
        <v>0</v>
      </c>
      <c r="D14">
        <v>0</v>
      </c>
      <c r="E14">
        <v>0</v>
      </c>
      <c r="F14">
        <v>18.5</v>
      </c>
      <c r="G14">
        <v>7.69</v>
      </c>
      <c r="H14">
        <v>36.22</v>
      </c>
      <c r="I14">
        <v>36.96</v>
      </c>
      <c r="J14">
        <v>37.369999999999997</v>
      </c>
      <c r="K14">
        <f t="shared" si="0"/>
        <v>36.85</v>
      </c>
      <c r="L14">
        <v>1</v>
      </c>
    </row>
    <row r="15" spans="1:16" x14ac:dyDescent="0.45">
      <c r="A15" t="s">
        <v>234</v>
      </c>
      <c r="B15">
        <v>0</v>
      </c>
      <c r="C15">
        <v>0</v>
      </c>
      <c r="D15">
        <v>0</v>
      </c>
      <c r="E15">
        <v>0</v>
      </c>
      <c r="F15">
        <v>18.5</v>
      </c>
      <c r="G15">
        <v>7.85</v>
      </c>
      <c r="H15">
        <v>35.67</v>
      </c>
      <c r="I15">
        <v>36.68</v>
      </c>
      <c r="J15">
        <v>35.67</v>
      </c>
      <c r="K15">
        <f t="shared" si="0"/>
        <v>36.006666666666668</v>
      </c>
      <c r="L15">
        <v>1</v>
      </c>
    </row>
    <row r="16" spans="1:16" x14ac:dyDescent="0.45">
      <c r="A16" t="s">
        <v>270</v>
      </c>
      <c r="B16">
        <v>0</v>
      </c>
      <c r="C16">
        <v>0</v>
      </c>
      <c r="D16">
        <v>0</v>
      </c>
      <c r="E16">
        <v>0</v>
      </c>
      <c r="F16">
        <v>18.5</v>
      </c>
      <c r="G16">
        <v>7.71</v>
      </c>
      <c r="H16">
        <v>37.19</v>
      </c>
      <c r="I16">
        <v>39.450000000000003</v>
      </c>
      <c r="J16" t="s">
        <v>1262</v>
      </c>
      <c r="K16">
        <f>SUM(H16:J16)/2</f>
        <v>38.32</v>
      </c>
      <c r="L16">
        <v>0</v>
      </c>
    </row>
    <row r="17" spans="1:12" x14ac:dyDescent="0.45">
      <c r="A17" t="s">
        <v>273</v>
      </c>
      <c r="B17">
        <v>0</v>
      </c>
      <c r="C17">
        <v>0</v>
      </c>
      <c r="D17">
        <v>1</v>
      </c>
      <c r="E17">
        <v>0</v>
      </c>
      <c r="F17">
        <v>18.600000000000001</v>
      </c>
      <c r="G17">
        <v>7.66</v>
      </c>
      <c r="H17">
        <v>35.82</v>
      </c>
      <c r="I17">
        <v>37.74</v>
      </c>
      <c r="J17">
        <v>36.96</v>
      </c>
      <c r="K17">
        <f>SUM(H17:J17)/3</f>
        <v>36.840000000000003</v>
      </c>
      <c r="L17">
        <v>0</v>
      </c>
    </row>
    <row r="18" spans="1:12" x14ac:dyDescent="0.45">
      <c r="A18" t="s">
        <v>287</v>
      </c>
      <c r="B18">
        <v>0</v>
      </c>
      <c r="C18">
        <v>0</v>
      </c>
      <c r="D18">
        <v>1</v>
      </c>
      <c r="E18">
        <v>0</v>
      </c>
      <c r="F18">
        <v>18.600000000000001</v>
      </c>
      <c r="G18">
        <v>7.95</v>
      </c>
      <c r="H18">
        <v>37.43</v>
      </c>
      <c r="I18">
        <v>37.92</v>
      </c>
      <c r="J18">
        <v>37.270000000000003</v>
      </c>
      <c r="K18">
        <f>SUM(H18:J18)/3</f>
        <v>37.54</v>
      </c>
      <c r="L18">
        <v>0</v>
      </c>
    </row>
    <row r="19" spans="1:12" x14ac:dyDescent="0.45">
      <c r="A19" t="s">
        <v>307</v>
      </c>
      <c r="B19">
        <v>0</v>
      </c>
      <c r="C19">
        <v>0</v>
      </c>
      <c r="D19">
        <v>1</v>
      </c>
      <c r="E19">
        <v>0</v>
      </c>
      <c r="F19">
        <v>18.600000000000001</v>
      </c>
      <c r="G19">
        <v>7.35</v>
      </c>
      <c r="H19" t="s">
        <v>9</v>
      </c>
      <c r="I19">
        <v>35.729999999999997</v>
      </c>
      <c r="J19">
        <v>35.96</v>
      </c>
      <c r="K19">
        <f>SUM(H19:J19)/2</f>
        <v>35.844999999999999</v>
      </c>
      <c r="L19">
        <v>1</v>
      </c>
    </row>
    <row r="20" spans="1:12" x14ac:dyDescent="0.45">
      <c r="A20" t="s">
        <v>166</v>
      </c>
      <c r="B20">
        <v>0</v>
      </c>
      <c r="C20">
        <v>0</v>
      </c>
      <c r="D20">
        <v>1</v>
      </c>
      <c r="E20">
        <v>0</v>
      </c>
      <c r="F20">
        <v>18.600000000000001</v>
      </c>
      <c r="G20">
        <v>7.33</v>
      </c>
      <c r="H20" t="s">
        <v>1262</v>
      </c>
      <c r="I20">
        <v>37.619999999999997</v>
      </c>
      <c r="J20">
        <v>38.64</v>
      </c>
      <c r="K20">
        <f>SUM(H20:J20)/2</f>
        <v>38.129999999999995</v>
      </c>
      <c r="L20">
        <v>0</v>
      </c>
    </row>
    <row r="21" spans="1:12" x14ac:dyDescent="0.45">
      <c r="A21" t="s">
        <v>292</v>
      </c>
      <c r="B21">
        <v>0</v>
      </c>
      <c r="C21">
        <v>0</v>
      </c>
      <c r="D21">
        <v>1</v>
      </c>
      <c r="E21">
        <v>0</v>
      </c>
      <c r="F21">
        <v>18.600000000000001</v>
      </c>
      <c r="G21">
        <v>8.23</v>
      </c>
      <c r="H21" t="s">
        <v>9</v>
      </c>
      <c r="I21" t="s">
        <v>9</v>
      </c>
      <c r="J21">
        <v>34.64</v>
      </c>
      <c r="K21">
        <f>SUM(H21:J21)/1</f>
        <v>34.64</v>
      </c>
      <c r="L21">
        <v>0</v>
      </c>
    </row>
    <row r="22" spans="1:12" x14ac:dyDescent="0.45">
      <c r="A22" t="s">
        <v>256</v>
      </c>
      <c r="B22">
        <v>0</v>
      </c>
      <c r="C22">
        <v>0</v>
      </c>
      <c r="D22">
        <v>0</v>
      </c>
      <c r="E22">
        <v>0</v>
      </c>
      <c r="F22">
        <v>18.399999999999999</v>
      </c>
      <c r="G22">
        <v>9.89</v>
      </c>
      <c r="H22">
        <v>37.51</v>
      </c>
      <c r="I22">
        <v>36.630000000000003</v>
      </c>
      <c r="J22">
        <v>36.369999999999997</v>
      </c>
      <c r="K22">
        <f>SUM(H22:J22)/3</f>
        <v>36.836666666666666</v>
      </c>
      <c r="L22">
        <v>1</v>
      </c>
    </row>
    <row r="23" spans="1:12" x14ac:dyDescent="0.45">
      <c r="A23" t="s">
        <v>230</v>
      </c>
      <c r="B23">
        <v>0</v>
      </c>
      <c r="C23">
        <v>0</v>
      </c>
      <c r="D23">
        <v>0</v>
      </c>
      <c r="E23">
        <v>0</v>
      </c>
      <c r="F23">
        <v>18.399999999999999</v>
      </c>
      <c r="G23">
        <v>8.4</v>
      </c>
      <c r="H23">
        <v>36.61</v>
      </c>
      <c r="I23">
        <v>36.25</v>
      </c>
      <c r="J23">
        <v>35.409999999999997</v>
      </c>
      <c r="K23">
        <f>SUM(H23:J23)/3</f>
        <v>36.089999999999996</v>
      </c>
      <c r="L23">
        <v>1</v>
      </c>
    </row>
    <row r="24" spans="1:12" x14ac:dyDescent="0.45">
      <c r="A24" t="s">
        <v>233</v>
      </c>
      <c r="B24">
        <v>0</v>
      </c>
      <c r="C24">
        <v>0</v>
      </c>
      <c r="D24">
        <v>0</v>
      </c>
      <c r="E24">
        <v>0</v>
      </c>
      <c r="F24">
        <v>18.399999999999999</v>
      </c>
      <c r="G24">
        <v>8.2799999999999994</v>
      </c>
      <c r="H24">
        <v>36.94</v>
      </c>
      <c r="I24">
        <v>37.76</v>
      </c>
      <c r="J24">
        <v>36.42</v>
      </c>
      <c r="K24">
        <f>SUM(H24:J24)/3</f>
        <v>37.04</v>
      </c>
      <c r="L24">
        <v>0</v>
      </c>
    </row>
    <row r="25" spans="1:12" x14ac:dyDescent="0.45">
      <c r="A25" t="s">
        <v>313</v>
      </c>
      <c r="B25">
        <v>0</v>
      </c>
      <c r="C25">
        <v>0</v>
      </c>
      <c r="D25">
        <v>0</v>
      </c>
      <c r="E25">
        <v>0</v>
      </c>
      <c r="F25">
        <v>18.3</v>
      </c>
      <c r="G25">
        <v>8.2799999999999994</v>
      </c>
      <c r="H25">
        <v>37.21</v>
      </c>
      <c r="I25">
        <v>37.020000000000003</v>
      </c>
      <c r="J25">
        <v>37.92</v>
      </c>
      <c r="K25">
        <f>SUM(H25:J25)/3</f>
        <v>37.383333333333333</v>
      </c>
      <c r="L25">
        <v>0</v>
      </c>
    </row>
    <row r="26" spans="1:12" x14ac:dyDescent="0.45">
      <c r="A26" t="s">
        <v>229</v>
      </c>
      <c r="B26">
        <v>0</v>
      </c>
      <c r="C26">
        <v>0</v>
      </c>
      <c r="D26">
        <v>0</v>
      </c>
      <c r="E26">
        <v>0</v>
      </c>
      <c r="F26">
        <v>18.399999999999999</v>
      </c>
      <c r="G26">
        <v>8.23</v>
      </c>
      <c r="H26" t="s">
        <v>1262</v>
      </c>
      <c r="I26" t="s">
        <v>1262</v>
      </c>
      <c r="J26">
        <v>37.619999999999997</v>
      </c>
      <c r="K26">
        <f>SUM(H26:J26)/1</f>
        <v>37.619999999999997</v>
      </c>
      <c r="L26">
        <v>0</v>
      </c>
    </row>
    <row r="27" spans="1:12" x14ac:dyDescent="0.45">
      <c r="A27" t="s">
        <v>314</v>
      </c>
      <c r="B27">
        <v>0</v>
      </c>
      <c r="C27">
        <v>0</v>
      </c>
      <c r="D27">
        <v>0</v>
      </c>
      <c r="E27">
        <v>0</v>
      </c>
      <c r="F27">
        <v>18.399999999999999</v>
      </c>
      <c r="G27">
        <v>8.23</v>
      </c>
      <c r="H27">
        <v>38.71</v>
      </c>
      <c r="I27">
        <v>38.380000000000003</v>
      </c>
      <c r="J27" t="s">
        <v>1262</v>
      </c>
      <c r="K27">
        <f>SUM(H27:J27)/2</f>
        <v>38.545000000000002</v>
      </c>
      <c r="L27">
        <v>0</v>
      </c>
    </row>
    <row r="28" spans="1:12" x14ac:dyDescent="0.45">
      <c r="A28" t="s">
        <v>238</v>
      </c>
      <c r="B28">
        <v>0</v>
      </c>
      <c r="C28">
        <v>0</v>
      </c>
      <c r="D28">
        <v>0</v>
      </c>
      <c r="E28">
        <v>0</v>
      </c>
      <c r="F28">
        <v>18.399999999999999</v>
      </c>
      <c r="G28">
        <v>8.4700000000000006</v>
      </c>
      <c r="H28" t="s">
        <v>1262</v>
      </c>
      <c r="I28" t="s">
        <v>1262</v>
      </c>
      <c r="J28" t="s">
        <v>1262</v>
      </c>
      <c r="K28">
        <f>SUM(H28:J28)/3</f>
        <v>0</v>
      </c>
      <c r="L28">
        <v>0</v>
      </c>
    </row>
    <row r="29" spans="1:12" x14ac:dyDescent="0.45">
      <c r="A29" t="s">
        <v>301</v>
      </c>
      <c r="B29">
        <v>0</v>
      </c>
      <c r="C29">
        <v>0</v>
      </c>
      <c r="D29">
        <v>1</v>
      </c>
      <c r="E29">
        <v>1</v>
      </c>
      <c r="F29">
        <v>18.399999999999999</v>
      </c>
      <c r="G29">
        <v>8.16</v>
      </c>
      <c r="H29">
        <v>34.799999999999997</v>
      </c>
      <c r="I29">
        <v>36.07</v>
      </c>
      <c r="J29">
        <v>36.619999999999997</v>
      </c>
      <c r="K29">
        <f>SUM(H29:J29)/3</f>
        <v>35.830000000000005</v>
      </c>
      <c r="L29">
        <v>1</v>
      </c>
    </row>
    <row r="30" spans="1:12" x14ac:dyDescent="0.45">
      <c r="A30" t="s">
        <v>194</v>
      </c>
      <c r="B30">
        <v>0</v>
      </c>
      <c r="C30">
        <v>0</v>
      </c>
      <c r="D30">
        <v>1</v>
      </c>
      <c r="E30">
        <v>1</v>
      </c>
      <c r="F30">
        <v>18.399999999999999</v>
      </c>
      <c r="G30">
        <v>8.3000000000000007</v>
      </c>
      <c r="H30">
        <v>37.049999999999997</v>
      </c>
      <c r="I30">
        <v>37.159999999999997</v>
      </c>
      <c r="J30">
        <v>38.03</v>
      </c>
      <c r="K30">
        <f>SUM(H30:J30)/3</f>
        <v>37.413333333333334</v>
      </c>
      <c r="L30">
        <v>0</v>
      </c>
    </row>
    <row r="31" spans="1:12" x14ac:dyDescent="0.45">
      <c r="A31" t="s">
        <v>157</v>
      </c>
      <c r="B31">
        <v>0</v>
      </c>
      <c r="C31">
        <v>0</v>
      </c>
      <c r="D31">
        <v>1</v>
      </c>
      <c r="E31">
        <v>0</v>
      </c>
      <c r="F31">
        <v>18.399999999999999</v>
      </c>
      <c r="G31">
        <v>9.08</v>
      </c>
      <c r="H31" t="s">
        <v>1262</v>
      </c>
      <c r="I31">
        <v>39.44</v>
      </c>
      <c r="J31" t="s">
        <v>1262</v>
      </c>
      <c r="K31">
        <f>SUM(H31:J31)/1</f>
        <v>39.44</v>
      </c>
      <c r="L31">
        <v>0</v>
      </c>
    </row>
    <row r="32" spans="1:12" x14ac:dyDescent="0.45">
      <c r="A32" t="s">
        <v>245</v>
      </c>
      <c r="B32">
        <v>0</v>
      </c>
      <c r="C32">
        <v>0</v>
      </c>
      <c r="D32">
        <v>1</v>
      </c>
      <c r="E32">
        <v>0</v>
      </c>
      <c r="F32">
        <v>18.5</v>
      </c>
      <c r="G32">
        <v>8.94</v>
      </c>
      <c r="H32">
        <v>36.6</v>
      </c>
      <c r="I32">
        <v>37.04</v>
      </c>
      <c r="J32">
        <v>38.18</v>
      </c>
      <c r="K32">
        <f>SUM(H32:J32)/3</f>
        <v>37.273333333333333</v>
      </c>
      <c r="L32">
        <v>0</v>
      </c>
    </row>
    <row r="33" spans="1:12" x14ac:dyDescent="0.45">
      <c r="A33" t="s">
        <v>246</v>
      </c>
      <c r="B33">
        <v>0</v>
      </c>
      <c r="C33">
        <v>0</v>
      </c>
      <c r="D33">
        <v>0</v>
      </c>
      <c r="E33">
        <v>0</v>
      </c>
      <c r="F33">
        <v>18.5</v>
      </c>
      <c r="G33">
        <v>8.82</v>
      </c>
      <c r="H33">
        <v>37.630000000000003</v>
      </c>
      <c r="I33">
        <v>37.39</v>
      </c>
      <c r="J33" t="s">
        <v>1262</v>
      </c>
      <c r="K33">
        <f>SUM(H33:J33)/2</f>
        <v>37.510000000000005</v>
      </c>
      <c r="L33">
        <v>0</v>
      </c>
    </row>
    <row r="34" spans="1:12" x14ac:dyDescent="0.45">
      <c r="A34" t="s">
        <v>224</v>
      </c>
      <c r="B34">
        <v>0</v>
      </c>
      <c r="C34">
        <v>0</v>
      </c>
      <c r="D34">
        <v>0</v>
      </c>
      <c r="E34">
        <v>1</v>
      </c>
      <c r="F34">
        <v>18.5</v>
      </c>
      <c r="G34">
        <v>8.8000000000000007</v>
      </c>
      <c r="H34">
        <v>37.119999999999997</v>
      </c>
      <c r="I34">
        <v>37.49</v>
      </c>
      <c r="J34">
        <v>36.28</v>
      </c>
      <c r="K34">
        <f>SUM(H34:J34)/3</f>
        <v>36.963333333333331</v>
      </c>
      <c r="L34">
        <v>0</v>
      </c>
    </row>
    <row r="35" spans="1:12" x14ac:dyDescent="0.45">
      <c r="A35" t="s">
        <v>290</v>
      </c>
      <c r="B35">
        <v>0</v>
      </c>
      <c r="C35">
        <v>0</v>
      </c>
      <c r="D35">
        <v>0</v>
      </c>
      <c r="E35">
        <v>0</v>
      </c>
      <c r="F35">
        <v>18.5</v>
      </c>
      <c r="G35">
        <v>8.75</v>
      </c>
      <c r="H35">
        <v>37.36</v>
      </c>
      <c r="I35">
        <v>36.69</v>
      </c>
      <c r="J35" t="s">
        <v>9</v>
      </c>
      <c r="K35">
        <f>SUM(H35:J35)/2</f>
        <v>37.024999999999999</v>
      </c>
      <c r="L35">
        <v>0</v>
      </c>
    </row>
    <row r="36" spans="1:12" x14ac:dyDescent="0.45">
      <c r="A36" t="s">
        <v>283</v>
      </c>
      <c r="B36">
        <v>0</v>
      </c>
      <c r="C36">
        <v>0</v>
      </c>
      <c r="D36">
        <v>0</v>
      </c>
      <c r="E36">
        <v>0</v>
      </c>
      <c r="F36">
        <v>18.5</v>
      </c>
      <c r="G36">
        <v>8.61</v>
      </c>
      <c r="H36" t="s">
        <v>9</v>
      </c>
      <c r="I36">
        <v>36.119999999999997</v>
      </c>
      <c r="J36" t="s">
        <v>9</v>
      </c>
      <c r="K36">
        <f>SUM(H36:J36)/1</f>
        <v>36.119999999999997</v>
      </c>
      <c r="L36">
        <v>0</v>
      </c>
    </row>
    <row r="37" spans="1:12" x14ac:dyDescent="0.45">
      <c r="A37" t="s">
        <v>305</v>
      </c>
      <c r="B37">
        <v>0</v>
      </c>
      <c r="C37">
        <v>0</v>
      </c>
      <c r="D37">
        <v>0</v>
      </c>
      <c r="E37">
        <v>0</v>
      </c>
      <c r="F37">
        <v>18.5</v>
      </c>
      <c r="G37">
        <v>8.59</v>
      </c>
      <c r="H37">
        <v>35.81</v>
      </c>
      <c r="I37" t="s">
        <v>9</v>
      </c>
      <c r="J37">
        <v>34.75</v>
      </c>
      <c r="K37">
        <f>SUM(H37:J37)/2</f>
        <v>35.28</v>
      </c>
      <c r="L37">
        <v>1</v>
      </c>
    </row>
    <row r="38" spans="1:12" x14ac:dyDescent="0.45">
      <c r="A38" t="s">
        <v>306</v>
      </c>
      <c r="B38">
        <v>0</v>
      </c>
      <c r="C38">
        <v>0</v>
      </c>
      <c r="D38">
        <v>0</v>
      </c>
      <c r="E38">
        <v>0</v>
      </c>
      <c r="F38">
        <v>18.5</v>
      </c>
      <c r="G38">
        <v>9.06</v>
      </c>
      <c r="H38" t="s">
        <v>9</v>
      </c>
      <c r="I38" t="s">
        <v>9</v>
      </c>
      <c r="J38" t="s">
        <v>9</v>
      </c>
      <c r="K38">
        <f>SUM(H38:J38)/3</f>
        <v>0</v>
      </c>
      <c r="L38">
        <v>0</v>
      </c>
    </row>
    <row r="39" spans="1:12" x14ac:dyDescent="0.45">
      <c r="A39" t="s">
        <v>213</v>
      </c>
      <c r="B39">
        <v>0</v>
      </c>
      <c r="C39">
        <v>0</v>
      </c>
      <c r="D39">
        <v>1</v>
      </c>
      <c r="E39">
        <v>1</v>
      </c>
      <c r="F39">
        <v>18.5</v>
      </c>
      <c r="G39">
        <v>8.68</v>
      </c>
      <c r="H39">
        <v>37.03</v>
      </c>
      <c r="I39">
        <v>38.369999999999997</v>
      </c>
      <c r="J39">
        <v>37.08</v>
      </c>
      <c r="K39">
        <f>SUM(H39:J39)/3</f>
        <v>37.493333333333332</v>
      </c>
      <c r="L39">
        <v>0</v>
      </c>
    </row>
    <row r="40" spans="1:12" x14ac:dyDescent="0.45">
      <c r="A40" t="s">
        <v>231</v>
      </c>
      <c r="B40">
        <v>0</v>
      </c>
      <c r="C40">
        <v>0</v>
      </c>
      <c r="D40">
        <v>0</v>
      </c>
      <c r="E40">
        <v>0</v>
      </c>
      <c r="F40">
        <v>18.5</v>
      </c>
      <c r="G40">
        <v>8.6300000000000008</v>
      </c>
      <c r="H40" t="s">
        <v>1262</v>
      </c>
      <c r="I40" t="s">
        <v>1262</v>
      </c>
      <c r="J40">
        <v>37.57</v>
      </c>
      <c r="K40">
        <f>SUM(H40:J40)/1</f>
        <v>37.57</v>
      </c>
      <c r="L40">
        <v>0</v>
      </c>
    </row>
    <row r="41" spans="1:12" x14ac:dyDescent="0.45">
      <c r="A41" t="s">
        <v>191</v>
      </c>
      <c r="B41">
        <v>1</v>
      </c>
      <c r="C41">
        <v>0</v>
      </c>
      <c r="D41">
        <v>1</v>
      </c>
      <c r="E41">
        <v>0</v>
      </c>
      <c r="F41">
        <v>18.600000000000001</v>
      </c>
      <c r="G41">
        <v>9.23</v>
      </c>
      <c r="H41">
        <v>38.44</v>
      </c>
      <c r="I41" t="s">
        <v>9</v>
      </c>
      <c r="J41" t="s">
        <v>9</v>
      </c>
      <c r="K41">
        <f>SUM(H41:J41)/1</f>
        <v>38.44</v>
      </c>
      <c r="L41">
        <v>0</v>
      </c>
    </row>
    <row r="42" spans="1:12" x14ac:dyDescent="0.45">
      <c r="A42" t="s">
        <v>164</v>
      </c>
      <c r="B42">
        <v>0</v>
      </c>
      <c r="C42">
        <v>0</v>
      </c>
      <c r="D42">
        <v>0</v>
      </c>
      <c r="E42">
        <v>0</v>
      </c>
      <c r="F42">
        <v>18.600000000000001</v>
      </c>
      <c r="G42">
        <v>9.18</v>
      </c>
      <c r="H42" t="s">
        <v>9</v>
      </c>
      <c r="I42" t="s">
        <v>9</v>
      </c>
      <c r="J42" t="s">
        <v>9</v>
      </c>
      <c r="K42">
        <f>SUM(H42:J42)/3</f>
        <v>0</v>
      </c>
      <c r="L42">
        <v>0</v>
      </c>
    </row>
    <row r="43" spans="1:12" x14ac:dyDescent="0.45">
      <c r="A43" t="s">
        <v>222</v>
      </c>
      <c r="B43">
        <v>0</v>
      </c>
      <c r="C43">
        <v>0</v>
      </c>
      <c r="D43">
        <v>0</v>
      </c>
      <c r="E43">
        <v>0</v>
      </c>
      <c r="F43">
        <v>18.600000000000001</v>
      </c>
      <c r="G43">
        <v>9.11</v>
      </c>
      <c r="H43">
        <v>37.39</v>
      </c>
      <c r="I43" t="s">
        <v>9</v>
      </c>
      <c r="J43" t="s">
        <v>9</v>
      </c>
      <c r="K43">
        <f>SUM(H43:J43)/1</f>
        <v>37.39</v>
      </c>
      <c r="L43">
        <v>0</v>
      </c>
    </row>
    <row r="44" spans="1:12" x14ac:dyDescent="0.45">
      <c r="A44" t="s">
        <v>199</v>
      </c>
      <c r="B44">
        <v>0</v>
      </c>
      <c r="C44">
        <v>0</v>
      </c>
      <c r="D44">
        <v>0</v>
      </c>
      <c r="E44">
        <v>0</v>
      </c>
      <c r="F44">
        <v>18.7</v>
      </c>
      <c r="G44">
        <v>9.1999999999999993</v>
      </c>
      <c r="H44" t="s">
        <v>9</v>
      </c>
      <c r="I44" t="s">
        <v>9</v>
      </c>
      <c r="J44" t="s">
        <v>9</v>
      </c>
      <c r="K44">
        <f>SUM(H44:J44)/3</f>
        <v>0</v>
      </c>
      <c r="L44">
        <v>0</v>
      </c>
    </row>
    <row r="45" spans="1:12" x14ac:dyDescent="0.45">
      <c r="A45" t="s">
        <v>276</v>
      </c>
      <c r="B45">
        <v>1</v>
      </c>
      <c r="C45">
        <v>0</v>
      </c>
      <c r="D45">
        <v>0</v>
      </c>
      <c r="E45">
        <v>0</v>
      </c>
      <c r="F45">
        <v>18.7</v>
      </c>
      <c r="G45">
        <v>9.3000000000000007</v>
      </c>
      <c r="H45">
        <v>37.799999999999997</v>
      </c>
      <c r="I45" t="s">
        <v>9</v>
      </c>
      <c r="J45" t="s">
        <v>9</v>
      </c>
      <c r="K45">
        <f>SUM(H45:J45)/1</f>
        <v>37.799999999999997</v>
      </c>
      <c r="L45">
        <v>0</v>
      </c>
    </row>
    <row r="46" spans="1:12" x14ac:dyDescent="0.45">
      <c r="A46" t="s">
        <v>232</v>
      </c>
      <c r="B46">
        <v>0</v>
      </c>
      <c r="C46">
        <v>0</v>
      </c>
      <c r="D46">
        <v>0</v>
      </c>
      <c r="E46">
        <v>0</v>
      </c>
      <c r="F46">
        <v>18.7</v>
      </c>
      <c r="H46">
        <v>37.380000000000003</v>
      </c>
      <c r="I46">
        <v>37.79</v>
      </c>
      <c r="J46" t="s">
        <v>9</v>
      </c>
      <c r="K46">
        <f>SUM(H46:J46)/2</f>
        <v>37.585000000000001</v>
      </c>
      <c r="L46">
        <v>0</v>
      </c>
    </row>
    <row r="47" spans="1:12" x14ac:dyDescent="0.45">
      <c r="A47" t="s">
        <v>193</v>
      </c>
      <c r="B47">
        <v>0</v>
      </c>
      <c r="C47">
        <v>0</v>
      </c>
      <c r="D47">
        <v>0</v>
      </c>
      <c r="E47">
        <v>0</v>
      </c>
      <c r="F47">
        <v>18.7</v>
      </c>
      <c r="G47">
        <v>9.56</v>
      </c>
      <c r="H47" t="s">
        <v>9</v>
      </c>
      <c r="I47" t="s">
        <v>9</v>
      </c>
      <c r="J47">
        <v>39.44</v>
      </c>
      <c r="K47">
        <f>SUM(H47:J47)/1</f>
        <v>39.44</v>
      </c>
      <c r="L47">
        <v>0</v>
      </c>
    </row>
    <row r="48" spans="1:12" x14ac:dyDescent="0.45">
      <c r="A48" t="s">
        <v>243</v>
      </c>
      <c r="B48">
        <v>0</v>
      </c>
      <c r="C48">
        <v>0</v>
      </c>
      <c r="D48">
        <v>0</v>
      </c>
      <c r="E48">
        <v>0</v>
      </c>
      <c r="F48">
        <v>18.7</v>
      </c>
      <c r="G48">
        <v>10.65</v>
      </c>
      <c r="H48" t="s">
        <v>9</v>
      </c>
      <c r="I48" t="s">
        <v>9</v>
      </c>
      <c r="J48">
        <v>38.76</v>
      </c>
      <c r="K48">
        <f>SUM(H48:J48)/1</f>
        <v>38.76</v>
      </c>
      <c r="L48">
        <v>0</v>
      </c>
    </row>
    <row r="49" spans="1:12" x14ac:dyDescent="0.45">
      <c r="A49" t="s">
        <v>308</v>
      </c>
      <c r="B49">
        <v>0</v>
      </c>
      <c r="C49">
        <v>0</v>
      </c>
      <c r="D49">
        <v>1</v>
      </c>
      <c r="E49">
        <v>0</v>
      </c>
      <c r="F49">
        <v>18.7</v>
      </c>
      <c r="G49">
        <v>9.8000000000000007</v>
      </c>
      <c r="H49">
        <v>37.17</v>
      </c>
      <c r="I49">
        <v>36.65</v>
      </c>
      <c r="J49">
        <v>37.270000000000003</v>
      </c>
      <c r="K49">
        <f>SUM(H49:J49)/3</f>
        <v>37.03</v>
      </c>
      <c r="L49">
        <v>0</v>
      </c>
    </row>
    <row r="50" spans="1:12" x14ac:dyDescent="0.45">
      <c r="A50" t="s">
        <v>200</v>
      </c>
      <c r="B50">
        <v>0</v>
      </c>
      <c r="C50">
        <v>0</v>
      </c>
      <c r="D50">
        <v>0</v>
      </c>
      <c r="E50">
        <v>0</v>
      </c>
      <c r="F50">
        <v>18.7</v>
      </c>
      <c r="G50">
        <v>9.6300000000000008</v>
      </c>
      <c r="H50">
        <v>36.39</v>
      </c>
      <c r="I50">
        <v>36.44</v>
      </c>
      <c r="J50">
        <v>37.89</v>
      </c>
      <c r="K50">
        <f>SUM(H50:J50)/3</f>
        <v>36.906666666666666</v>
      </c>
      <c r="L50">
        <v>1</v>
      </c>
    </row>
    <row r="51" spans="1:12" x14ac:dyDescent="0.45">
      <c r="A51" t="s">
        <v>202</v>
      </c>
      <c r="B51">
        <v>0</v>
      </c>
      <c r="C51">
        <v>1</v>
      </c>
      <c r="D51">
        <v>1</v>
      </c>
      <c r="E51">
        <v>0</v>
      </c>
      <c r="F51">
        <v>18.7</v>
      </c>
      <c r="H51">
        <v>31.86</v>
      </c>
      <c r="I51">
        <v>32.22</v>
      </c>
      <c r="J51">
        <v>31.12</v>
      </c>
      <c r="K51">
        <f>SUM(H51:J51)/3</f>
        <v>31.733333333333334</v>
      </c>
      <c r="L51">
        <v>1</v>
      </c>
    </row>
    <row r="52" spans="1:12" x14ac:dyDescent="0.45">
      <c r="A52" t="s">
        <v>239</v>
      </c>
      <c r="B52">
        <v>0</v>
      </c>
      <c r="C52">
        <v>1</v>
      </c>
      <c r="D52">
        <v>0</v>
      </c>
      <c r="E52">
        <v>1</v>
      </c>
      <c r="F52">
        <v>17.7</v>
      </c>
      <c r="G52">
        <v>7.61</v>
      </c>
      <c r="H52" t="s">
        <v>9</v>
      </c>
      <c r="I52" t="s">
        <v>9</v>
      </c>
      <c r="J52">
        <v>37.659999999999997</v>
      </c>
      <c r="K52">
        <f>SUM(H52:J52)/1</f>
        <v>37.659999999999997</v>
      </c>
      <c r="L52">
        <v>0</v>
      </c>
    </row>
    <row r="53" spans="1:12" x14ac:dyDescent="0.45">
      <c r="A53" t="s">
        <v>257</v>
      </c>
      <c r="B53">
        <v>0</v>
      </c>
      <c r="C53">
        <v>0</v>
      </c>
      <c r="D53">
        <v>1</v>
      </c>
      <c r="E53">
        <v>1</v>
      </c>
      <c r="F53">
        <v>17.7</v>
      </c>
      <c r="G53">
        <v>8.94</v>
      </c>
      <c r="H53" t="s">
        <v>9</v>
      </c>
      <c r="I53" t="s">
        <v>9</v>
      </c>
      <c r="J53" t="s">
        <v>9</v>
      </c>
      <c r="K53">
        <f>SUM(H53:J53)/3</f>
        <v>0</v>
      </c>
      <c r="L53">
        <v>0</v>
      </c>
    </row>
    <row r="54" spans="1:12" x14ac:dyDescent="0.45">
      <c r="A54" t="s">
        <v>312</v>
      </c>
      <c r="B54">
        <v>0</v>
      </c>
      <c r="C54">
        <v>1</v>
      </c>
      <c r="D54">
        <v>1</v>
      </c>
      <c r="E54">
        <v>0</v>
      </c>
      <c r="F54">
        <v>17.7</v>
      </c>
      <c r="G54">
        <v>8.94</v>
      </c>
      <c r="H54" t="s">
        <v>9</v>
      </c>
      <c r="I54">
        <v>39.07</v>
      </c>
      <c r="J54">
        <v>37.11</v>
      </c>
      <c r="K54">
        <f>SUM(H54:J54)/2</f>
        <v>38.090000000000003</v>
      </c>
      <c r="L54">
        <v>0</v>
      </c>
    </row>
    <row r="55" spans="1:12" x14ac:dyDescent="0.45">
      <c r="A55" t="s">
        <v>210</v>
      </c>
      <c r="B55">
        <v>0</v>
      </c>
      <c r="C55">
        <v>1</v>
      </c>
      <c r="D55">
        <v>1</v>
      </c>
      <c r="E55">
        <v>0</v>
      </c>
      <c r="F55">
        <v>17.7</v>
      </c>
      <c r="G55">
        <v>12.88</v>
      </c>
      <c r="H55" t="s">
        <v>9</v>
      </c>
      <c r="I55" t="s">
        <v>9</v>
      </c>
      <c r="J55" t="s">
        <v>9</v>
      </c>
      <c r="K55">
        <f>SUM(H55:J55)/3</f>
        <v>0</v>
      </c>
      <c r="L55">
        <v>0</v>
      </c>
    </row>
    <row r="56" spans="1:12" x14ac:dyDescent="0.45">
      <c r="A56" t="s">
        <v>214</v>
      </c>
      <c r="B56">
        <v>0</v>
      </c>
      <c r="C56">
        <v>1</v>
      </c>
      <c r="D56">
        <v>1</v>
      </c>
      <c r="E56">
        <v>0</v>
      </c>
      <c r="F56">
        <v>17.7</v>
      </c>
      <c r="G56">
        <v>13.05</v>
      </c>
      <c r="H56">
        <v>36.049999999999997</v>
      </c>
      <c r="I56">
        <v>38.71</v>
      </c>
      <c r="J56">
        <v>38.46</v>
      </c>
      <c r="K56">
        <f>SUM(H56:J56)/3</f>
        <v>37.74</v>
      </c>
      <c r="L56">
        <v>0</v>
      </c>
    </row>
    <row r="57" spans="1:12" x14ac:dyDescent="0.45">
      <c r="A57" t="s">
        <v>206</v>
      </c>
      <c r="B57">
        <v>0</v>
      </c>
      <c r="C57">
        <v>1</v>
      </c>
      <c r="D57">
        <v>1</v>
      </c>
      <c r="E57">
        <v>0</v>
      </c>
      <c r="F57">
        <v>17.7</v>
      </c>
      <c r="G57">
        <v>13.26</v>
      </c>
      <c r="H57">
        <v>38.17</v>
      </c>
      <c r="I57" t="s">
        <v>9</v>
      </c>
      <c r="J57">
        <v>37.409999999999997</v>
      </c>
      <c r="K57">
        <f>SUM(H57:J57)/2</f>
        <v>37.79</v>
      </c>
      <c r="L57">
        <v>0</v>
      </c>
    </row>
    <row r="58" spans="1:12" x14ac:dyDescent="0.45">
      <c r="A58" t="s">
        <v>174</v>
      </c>
      <c r="B58">
        <v>0</v>
      </c>
      <c r="C58">
        <v>1</v>
      </c>
      <c r="D58">
        <v>1</v>
      </c>
      <c r="E58">
        <v>0</v>
      </c>
      <c r="F58">
        <v>17.7</v>
      </c>
      <c r="G58">
        <v>12.76</v>
      </c>
      <c r="H58" t="s">
        <v>9</v>
      </c>
      <c r="I58" t="s">
        <v>9</v>
      </c>
      <c r="J58" t="s">
        <v>9</v>
      </c>
      <c r="K58">
        <f>SUM(H58:J58)/3</f>
        <v>0</v>
      </c>
      <c r="L58">
        <v>0</v>
      </c>
    </row>
    <row r="59" spans="1:12" x14ac:dyDescent="0.45">
      <c r="A59" t="s">
        <v>302</v>
      </c>
      <c r="B59">
        <v>0</v>
      </c>
      <c r="C59">
        <v>1</v>
      </c>
      <c r="D59">
        <v>1</v>
      </c>
      <c r="E59">
        <v>0</v>
      </c>
      <c r="F59">
        <v>17.7</v>
      </c>
      <c r="G59">
        <v>12.57</v>
      </c>
      <c r="H59" t="s">
        <v>9</v>
      </c>
      <c r="I59">
        <v>37.61</v>
      </c>
      <c r="J59" t="s">
        <v>9</v>
      </c>
      <c r="K59">
        <f>SUM(H59:J59)/1</f>
        <v>37.61</v>
      </c>
      <c r="L59">
        <v>0</v>
      </c>
    </row>
    <row r="60" spans="1:12" x14ac:dyDescent="0.45">
      <c r="A60" t="s">
        <v>178</v>
      </c>
      <c r="B60">
        <v>0</v>
      </c>
      <c r="C60">
        <v>1</v>
      </c>
      <c r="D60">
        <v>1</v>
      </c>
      <c r="E60">
        <v>0</v>
      </c>
      <c r="F60">
        <v>17.7</v>
      </c>
      <c r="G60">
        <v>12.67</v>
      </c>
      <c r="H60" t="s">
        <v>9</v>
      </c>
      <c r="I60" t="s">
        <v>9</v>
      </c>
      <c r="J60" t="s">
        <v>9</v>
      </c>
      <c r="K60">
        <f>SUM(H60:J60)/3</f>
        <v>0</v>
      </c>
      <c r="L60">
        <v>0</v>
      </c>
    </row>
    <row r="61" spans="1:12" x14ac:dyDescent="0.45">
      <c r="A61" t="s">
        <v>304</v>
      </c>
      <c r="B61">
        <v>0</v>
      </c>
      <c r="C61">
        <v>1</v>
      </c>
      <c r="D61">
        <v>1</v>
      </c>
      <c r="E61">
        <v>0</v>
      </c>
      <c r="F61">
        <v>17.7</v>
      </c>
      <c r="G61">
        <v>12.52</v>
      </c>
      <c r="H61">
        <v>39.33</v>
      </c>
      <c r="I61">
        <v>37.4</v>
      </c>
      <c r="J61" t="s">
        <v>9</v>
      </c>
      <c r="K61">
        <f>SUM(H61:J61)/2</f>
        <v>38.364999999999995</v>
      </c>
      <c r="L61">
        <v>0</v>
      </c>
    </row>
    <row r="62" spans="1:12" x14ac:dyDescent="0.45">
      <c r="A62" t="s">
        <v>204</v>
      </c>
      <c r="B62">
        <v>0</v>
      </c>
      <c r="C62">
        <v>1</v>
      </c>
      <c r="D62">
        <v>1</v>
      </c>
      <c r="E62">
        <v>0</v>
      </c>
      <c r="F62">
        <v>17.7</v>
      </c>
      <c r="H62" t="s">
        <v>9</v>
      </c>
      <c r="I62" t="s">
        <v>9</v>
      </c>
      <c r="J62" t="s">
        <v>9</v>
      </c>
      <c r="K62">
        <f>SUM(H62:J62)/3</f>
        <v>0</v>
      </c>
      <c r="L62">
        <v>0</v>
      </c>
    </row>
    <row r="63" spans="1:12" x14ac:dyDescent="0.45">
      <c r="A63" t="s">
        <v>223</v>
      </c>
      <c r="B63">
        <v>0</v>
      </c>
      <c r="C63">
        <v>1</v>
      </c>
      <c r="D63">
        <v>1</v>
      </c>
      <c r="E63">
        <v>1</v>
      </c>
      <c r="F63">
        <v>17.7</v>
      </c>
      <c r="G63">
        <v>12.71</v>
      </c>
      <c r="H63" t="s">
        <v>9</v>
      </c>
      <c r="I63" t="s">
        <v>9</v>
      </c>
      <c r="J63" t="s">
        <v>9</v>
      </c>
      <c r="K63">
        <f>SUM(H63:J63)/3</f>
        <v>0</v>
      </c>
      <c r="L63">
        <v>0</v>
      </c>
    </row>
    <row r="64" spans="1:12" x14ac:dyDescent="0.45">
      <c r="A64" t="s">
        <v>277</v>
      </c>
      <c r="B64">
        <v>0</v>
      </c>
      <c r="C64">
        <v>1</v>
      </c>
      <c r="D64">
        <v>1</v>
      </c>
      <c r="E64">
        <v>0</v>
      </c>
      <c r="F64">
        <v>17.7</v>
      </c>
      <c r="G64">
        <v>13.12</v>
      </c>
      <c r="H64">
        <v>39.97</v>
      </c>
      <c r="I64" t="s">
        <v>9</v>
      </c>
      <c r="J64">
        <v>37.26</v>
      </c>
      <c r="K64">
        <f>SUM(H64:J64)/2</f>
        <v>38.614999999999995</v>
      </c>
      <c r="L64">
        <v>0</v>
      </c>
    </row>
    <row r="65" spans="1:12" x14ac:dyDescent="0.45">
      <c r="A65" t="s">
        <v>294</v>
      </c>
      <c r="B65">
        <v>0</v>
      </c>
      <c r="C65">
        <v>1</v>
      </c>
      <c r="D65">
        <v>1</v>
      </c>
      <c r="E65">
        <v>0</v>
      </c>
      <c r="F65">
        <v>17.7</v>
      </c>
      <c r="G65">
        <v>13.345000000000001</v>
      </c>
      <c r="H65">
        <v>36.950000000000003</v>
      </c>
      <c r="I65">
        <v>36.450000000000003</v>
      </c>
      <c r="J65" t="s">
        <v>9</v>
      </c>
      <c r="K65">
        <f>SUM(H65:J65)/2</f>
        <v>36.700000000000003</v>
      </c>
      <c r="L65">
        <v>1</v>
      </c>
    </row>
    <row r="66" spans="1:12" x14ac:dyDescent="0.45">
      <c r="A66" t="s">
        <v>258</v>
      </c>
      <c r="B66">
        <v>0</v>
      </c>
      <c r="C66">
        <v>1</v>
      </c>
      <c r="D66">
        <v>1</v>
      </c>
      <c r="E66">
        <v>1</v>
      </c>
      <c r="F66">
        <v>17.7</v>
      </c>
      <c r="G66">
        <v>13.47</v>
      </c>
      <c r="H66">
        <v>37.700000000000003</v>
      </c>
      <c r="I66" t="s">
        <v>9</v>
      </c>
      <c r="J66" t="s">
        <v>9</v>
      </c>
      <c r="K66">
        <f>SUM(H66:J66)/1</f>
        <v>37.700000000000003</v>
      </c>
      <c r="L66">
        <v>0</v>
      </c>
    </row>
    <row r="67" spans="1:12" x14ac:dyDescent="0.45">
      <c r="A67" t="s">
        <v>182</v>
      </c>
      <c r="B67">
        <v>0</v>
      </c>
      <c r="C67">
        <v>1</v>
      </c>
      <c r="D67">
        <v>1</v>
      </c>
      <c r="E67">
        <v>1</v>
      </c>
      <c r="F67">
        <v>17.7</v>
      </c>
      <c r="G67">
        <v>13.73</v>
      </c>
      <c r="H67" t="s">
        <v>9</v>
      </c>
      <c r="I67" t="s">
        <v>9</v>
      </c>
      <c r="J67" t="s">
        <v>9</v>
      </c>
      <c r="K67">
        <f>SUM(H67:J67)/3</f>
        <v>0</v>
      </c>
      <c r="L67">
        <v>0</v>
      </c>
    </row>
    <row r="68" spans="1:12" x14ac:dyDescent="0.45">
      <c r="A68" t="s">
        <v>288</v>
      </c>
      <c r="B68">
        <v>0</v>
      </c>
      <c r="C68">
        <v>1</v>
      </c>
      <c r="D68">
        <v>1</v>
      </c>
      <c r="E68">
        <v>1</v>
      </c>
      <c r="F68">
        <v>17.7</v>
      </c>
      <c r="G68">
        <v>13.9</v>
      </c>
      <c r="H68">
        <v>36.14</v>
      </c>
      <c r="I68">
        <v>37.07</v>
      </c>
      <c r="J68">
        <v>37.549999999999997</v>
      </c>
      <c r="K68">
        <f>SUM(H68:J68)/3</f>
        <v>36.92</v>
      </c>
      <c r="L68">
        <v>1</v>
      </c>
    </row>
    <row r="69" spans="1:12" x14ac:dyDescent="0.45">
      <c r="A69" t="s">
        <v>221</v>
      </c>
      <c r="B69">
        <v>0</v>
      </c>
      <c r="C69">
        <v>1</v>
      </c>
      <c r="D69">
        <v>1</v>
      </c>
      <c r="E69">
        <v>1</v>
      </c>
      <c r="F69">
        <v>17.7</v>
      </c>
      <c r="G69">
        <v>13.47</v>
      </c>
      <c r="H69" t="s">
        <v>9</v>
      </c>
      <c r="I69" t="s">
        <v>9</v>
      </c>
      <c r="J69">
        <v>38.72</v>
      </c>
      <c r="K69">
        <f>SUM(H69:J69)/1</f>
        <v>38.72</v>
      </c>
      <c r="L69">
        <v>0</v>
      </c>
    </row>
    <row r="70" spans="1:12" x14ac:dyDescent="0.45">
      <c r="A70" t="s">
        <v>159</v>
      </c>
      <c r="B70">
        <v>0</v>
      </c>
      <c r="C70">
        <v>0</v>
      </c>
      <c r="D70">
        <v>1</v>
      </c>
      <c r="E70">
        <v>0</v>
      </c>
      <c r="F70">
        <v>17.7</v>
      </c>
      <c r="G70">
        <v>11.5</v>
      </c>
      <c r="H70" t="s">
        <v>9</v>
      </c>
      <c r="I70" t="s">
        <v>9</v>
      </c>
      <c r="J70" t="s">
        <v>9</v>
      </c>
      <c r="K70">
        <f>SUM(H70:J70)/3</f>
        <v>0</v>
      </c>
      <c r="L70">
        <v>0</v>
      </c>
    </row>
    <row r="71" spans="1:12" x14ac:dyDescent="0.45">
      <c r="A71" t="s">
        <v>220</v>
      </c>
      <c r="B71">
        <v>0</v>
      </c>
      <c r="C71">
        <v>0</v>
      </c>
      <c r="D71">
        <v>0</v>
      </c>
      <c r="E71">
        <v>0</v>
      </c>
      <c r="F71">
        <v>17.7</v>
      </c>
      <c r="G71">
        <v>9.65</v>
      </c>
      <c r="H71" t="s">
        <v>9</v>
      </c>
      <c r="I71" t="s">
        <v>9</v>
      </c>
      <c r="J71" t="s">
        <v>9</v>
      </c>
      <c r="K71">
        <f>SUM(H71:J71)/3</f>
        <v>0</v>
      </c>
      <c r="L71">
        <v>0</v>
      </c>
    </row>
    <row r="72" spans="1:12" x14ac:dyDescent="0.45">
      <c r="A72" t="s">
        <v>177</v>
      </c>
      <c r="B72">
        <v>0</v>
      </c>
      <c r="C72">
        <v>0</v>
      </c>
      <c r="D72">
        <v>1</v>
      </c>
      <c r="E72">
        <v>0</v>
      </c>
      <c r="F72">
        <v>17.7</v>
      </c>
      <c r="H72" t="s">
        <v>9</v>
      </c>
      <c r="I72">
        <v>38.89</v>
      </c>
      <c r="J72" t="s">
        <v>9</v>
      </c>
      <c r="K72">
        <f>SUM(H72:J72)/1</f>
        <v>38.89</v>
      </c>
      <c r="L72">
        <v>0</v>
      </c>
    </row>
    <row r="73" spans="1:12" x14ac:dyDescent="0.45">
      <c r="A73" t="s">
        <v>195</v>
      </c>
      <c r="B73">
        <v>0</v>
      </c>
      <c r="C73">
        <v>0</v>
      </c>
      <c r="D73">
        <v>1</v>
      </c>
      <c r="E73">
        <v>1</v>
      </c>
      <c r="F73">
        <v>17.7</v>
      </c>
      <c r="H73" t="s">
        <v>9</v>
      </c>
      <c r="I73" t="s">
        <v>9</v>
      </c>
      <c r="J73" t="s">
        <v>9</v>
      </c>
      <c r="K73">
        <f>SUM(H73:J73)/3</f>
        <v>0</v>
      </c>
      <c r="L73">
        <v>0</v>
      </c>
    </row>
    <row r="74" spans="1:12" x14ac:dyDescent="0.45">
      <c r="A74" t="s">
        <v>227</v>
      </c>
      <c r="B74">
        <v>0</v>
      </c>
      <c r="C74">
        <v>1</v>
      </c>
      <c r="D74">
        <v>1</v>
      </c>
      <c r="E74">
        <v>0</v>
      </c>
      <c r="F74">
        <v>17.7</v>
      </c>
      <c r="G74">
        <v>13.73</v>
      </c>
      <c r="H74" t="s">
        <v>9</v>
      </c>
      <c r="I74" t="s">
        <v>9</v>
      </c>
      <c r="J74" t="s">
        <v>9</v>
      </c>
      <c r="K74">
        <f>SUM(H74:J74)/3</f>
        <v>0</v>
      </c>
      <c r="L74">
        <v>0</v>
      </c>
    </row>
    <row r="75" spans="1:12" x14ac:dyDescent="0.45">
      <c r="A75" t="s">
        <v>225</v>
      </c>
      <c r="B75">
        <v>0</v>
      </c>
      <c r="C75">
        <v>1</v>
      </c>
      <c r="D75">
        <v>1</v>
      </c>
      <c r="E75">
        <v>0</v>
      </c>
      <c r="F75">
        <v>17.7</v>
      </c>
      <c r="G75">
        <v>14.71</v>
      </c>
      <c r="H75" t="s">
        <v>9</v>
      </c>
      <c r="I75">
        <v>37.76</v>
      </c>
      <c r="J75" t="s">
        <v>9</v>
      </c>
      <c r="K75">
        <f>SUM(H75:J75)/1</f>
        <v>37.76</v>
      </c>
      <c r="L75">
        <v>0</v>
      </c>
    </row>
    <row r="76" spans="1:12" x14ac:dyDescent="0.45">
      <c r="A76" t="s">
        <v>251</v>
      </c>
      <c r="B76">
        <v>0</v>
      </c>
      <c r="C76">
        <v>1</v>
      </c>
      <c r="D76">
        <v>1</v>
      </c>
      <c r="E76">
        <v>1</v>
      </c>
      <c r="F76">
        <v>17.7</v>
      </c>
      <c r="G76">
        <v>14.59</v>
      </c>
      <c r="H76">
        <v>39.25</v>
      </c>
      <c r="I76" t="s">
        <v>9</v>
      </c>
      <c r="J76">
        <v>38.18</v>
      </c>
      <c r="K76">
        <f>SUM(H76:J76)/2</f>
        <v>38.715000000000003</v>
      </c>
      <c r="L76">
        <v>0</v>
      </c>
    </row>
    <row r="77" spans="1:12" x14ac:dyDescent="0.45">
      <c r="A77" t="s">
        <v>171</v>
      </c>
      <c r="B77">
        <v>0</v>
      </c>
      <c r="C77">
        <v>1</v>
      </c>
      <c r="D77">
        <v>1</v>
      </c>
      <c r="E77">
        <v>0</v>
      </c>
      <c r="F77">
        <v>17.7</v>
      </c>
      <c r="G77">
        <v>14.26</v>
      </c>
      <c r="H77" t="s">
        <v>9</v>
      </c>
      <c r="I77" t="s">
        <v>9</v>
      </c>
      <c r="J77" t="s">
        <v>9</v>
      </c>
      <c r="K77">
        <f>SUM(H77:J77)/3</f>
        <v>0</v>
      </c>
      <c r="L77">
        <v>0</v>
      </c>
    </row>
    <row r="78" spans="1:12" x14ac:dyDescent="0.45">
      <c r="A78" t="s">
        <v>211</v>
      </c>
      <c r="B78">
        <v>0</v>
      </c>
      <c r="C78">
        <v>1</v>
      </c>
      <c r="D78">
        <v>1</v>
      </c>
      <c r="E78">
        <v>0</v>
      </c>
      <c r="F78">
        <v>17.7</v>
      </c>
      <c r="G78">
        <v>13.99</v>
      </c>
      <c r="H78" t="s">
        <v>9</v>
      </c>
      <c r="I78">
        <v>37.68</v>
      </c>
      <c r="J78">
        <v>38.67</v>
      </c>
      <c r="K78">
        <f>SUM(H78:J78)/2</f>
        <v>38.174999999999997</v>
      </c>
      <c r="L78">
        <v>0</v>
      </c>
    </row>
    <row r="79" spans="1:12" x14ac:dyDescent="0.45">
      <c r="A79" t="s">
        <v>311</v>
      </c>
      <c r="B79">
        <v>0</v>
      </c>
      <c r="C79">
        <v>1</v>
      </c>
      <c r="D79">
        <v>1</v>
      </c>
      <c r="E79">
        <v>0</v>
      </c>
      <c r="F79">
        <v>17.7</v>
      </c>
      <c r="G79">
        <v>14.07</v>
      </c>
      <c r="H79" t="s">
        <v>9</v>
      </c>
      <c r="I79" t="s">
        <v>9</v>
      </c>
      <c r="J79" t="s">
        <v>9</v>
      </c>
      <c r="K79">
        <f>SUM(H79:J79)/3</f>
        <v>0</v>
      </c>
      <c r="L79">
        <v>0</v>
      </c>
    </row>
    <row r="80" spans="1:12" x14ac:dyDescent="0.45">
      <c r="A80" t="s">
        <v>158</v>
      </c>
      <c r="B80">
        <v>0</v>
      </c>
      <c r="C80">
        <v>0</v>
      </c>
      <c r="D80">
        <v>1</v>
      </c>
      <c r="E80">
        <v>1</v>
      </c>
      <c r="F80">
        <v>17.7</v>
      </c>
      <c r="G80">
        <v>13.85</v>
      </c>
      <c r="H80">
        <v>38.53</v>
      </c>
      <c r="I80" t="s">
        <v>9</v>
      </c>
      <c r="J80" t="s">
        <v>9</v>
      </c>
      <c r="K80">
        <f>SUM(H80:J80)/1</f>
        <v>38.53</v>
      </c>
      <c r="L80">
        <v>0</v>
      </c>
    </row>
    <row r="81" spans="1:12" x14ac:dyDescent="0.45">
      <c r="A81" t="s">
        <v>192</v>
      </c>
      <c r="B81">
        <v>0</v>
      </c>
      <c r="C81">
        <v>0</v>
      </c>
      <c r="D81">
        <v>1</v>
      </c>
      <c r="E81">
        <v>0</v>
      </c>
      <c r="F81">
        <v>17.7</v>
      </c>
      <c r="G81">
        <v>13.9</v>
      </c>
      <c r="H81">
        <v>37.31</v>
      </c>
      <c r="I81">
        <v>36.79</v>
      </c>
      <c r="J81">
        <v>39.590000000000003</v>
      </c>
      <c r="K81">
        <f t="shared" ref="K81:K90" si="1">SUM(H81:J81)/3</f>
        <v>37.896666666666668</v>
      </c>
      <c r="L81">
        <v>0</v>
      </c>
    </row>
    <row r="82" spans="1:12" x14ac:dyDescent="0.45">
      <c r="A82" t="s">
        <v>161</v>
      </c>
      <c r="B82">
        <v>0</v>
      </c>
      <c r="C82">
        <v>1</v>
      </c>
      <c r="D82">
        <v>1</v>
      </c>
      <c r="E82">
        <v>0</v>
      </c>
      <c r="F82">
        <v>17.7</v>
      </c>
      <c r="G82">
        <v>13.85</v>
      </c>
      <c r="H82" t="s">
        <v>9</v>
      </c>
      <c r="I82" t="s">
        <v>9</v>
      </c>
      <c r="J82" t="s">
        <v>9</v>
      </c>
      <c r="K82">
        <f t="shared" si="1"/>
        <v>0</v>
      </c>
      <c r="L82">
        <v>0</v>
      </c>
    </row>
    <row r="83" spans="1:12" x14ac:dyDescent="0.45">
      <c r="A83" t="s">
        <v>265</v>
      </c>
      <c r="B83">
        <v>0</v>
      </c>
      <c r="C83">
        <v>1</v>
      </c>
      <c r="D83">
        <v>1</v>
      </c>
      <c r="E83">
        <v>1</v>
      </c>
      <c r="F83">
        <v>17.7</v>
      </c>
      <c r="G83">
        <v>13.64</v>
      </c>
      <c r="H83">
        <v>37.56</v>
      </c>
      <c r="I83">
        <v>36.15</v>
      </c>
      <c r="J83">
        <v>37.590000000000003</v>
      </c>
      <c r="K83">
        <f t="shared" si="1"/>
        <v>37.1</v>
      </c>
      <c r="L83">
        <v>0</v>
      </c>
    </row>
    <row r="84" spans="1:12" x14ac:dyDescent="0.45">
      <c r="A84" t="s">
        <v>165</v>
      </c>
      <c r="B84">
        <v>0</v>
      </c>
      <c r="C84">
        <v>1</v>
      </c>
      <c r="D84">
        <v>1</v>
      </c>
      <c r="E84">
        <v>0</v>
      </c>
      <c r="F84">
        <v>17.600000000000001</v>
      </c>
      <c r="G84">
        <v>13.76</v>
      </c>
      <c r="H84" t="s">
        <v>9</v>
      </c>
      <c r="I84" t="s">
        <v>9</v>
      </c>
      <c r="J84" t="s">
        <v>9</v>
      </c>
      <c r="K84">
        <f t="shared" si="1"/>
        <v>0</v>
      </c>
      <c r="L84">
        <v>0</v>
      </c>
    </row>
    <row r="85" spans="1:12" x14ac:dyDescent="0.45">
      <c r="A85" t="s">
        <v>215</v>
      </c>
      <c r="B85">
        <v>0</v>
      </c>
      <c r="C85">
        <v>0</v>
      </c>
      <c r="D85">
        <v>1</v>
      </c>
      <c r="E85">
        <v>0</v>
      </c>
      <c r="F85">
        <v>17.600000000000001</v>
      </c>
      <c r="G85">
        <v>14.35</v>
      </c>
      <c r="H85" t="s">
        <v>9</v>
      </c>
      <c r="I85" t="s">
        <v>9</v>
      </c>
      <c r="J85" t="s">
        <v>9</v>
      </c>
      <c r="K85">
        <f t="shared" si="1"/>
        <v>0</v>
      </c>
      <c r="L85">
        <v>0</v>
      </c>
    </row>
    <row r="86" spans="1:12" x14ac:dyDescent="0.45">
      <c r="A86" t="s">
        <v>186</v>
      </c>
      <c r="B86">
        <v>0</v>
      </c>
      <c r="C86">
        <v>1</v>
      </c>
      <c r="D86">
        <v>1</v>
      </c>
      <c r="E86">
        <v>1</v>
      </c>
      <c r="F86">
        <v>17.600000000000001</v>
      </c>
      <c r="G86">
        <v>14.11</v>
      </c>
      <c r="H86" t="s">
        <v>9</v>
      </c>
      <c r="I86" t="s">
        <v>9</v>
      </c>
      <c r="J86" t="s">
        <v>9</v>
      </c>
      <c r="K86">
        <f t="shared" si="1"/>
        <v>0</v>
      </c>
      <c r="L86">
        <v>0</v>
      </c>
    </row>
    <row r="87" spans="1:12" x14ac:dyDescent="0.45">
      <c r="A87" t="s">
        <v>235</v>
      </c>
      <c r="B87">
        <v>0</v>
      </c>
      <c r="C87">
        <v>1</v>
      </c>
      <c r="D87">
        <v>1</v>
      </c>
      <c r="E87">
        <v>0</v>
      </c>
      <c r="F87">
        <v>17.600000000000001</v>
      </c>
      <c r="G87">
        <v>14.09</v>
      </c>
      <c r="H87">
        <v>37.340000000000003</v>
      </c>
      <c r="I87">
        <v>37.35</v>
      </c>
      <c r="J87">
        <v>38.39</v>
      </c>
      <c r="K87">
        <f t="shared" si="1"/>
        <v>37.693333333333335</v>
      </c>
      <c r="L87">
        <v>0</v>
      </c>
    </row>
    <row r="88" spans="1:12" x14ac:dyDescent="0.45">
      <c r="A88" t="s">
        <v>170</v>
      </c>
      <c r="B88">
        <v>0</v>
      </c>
      <c r="C88">
        <v>1</v>
      </c>
      <c r="D88">
        <v>1</v>
      </c>
      <c r="E88">
        <v>0</v>
      </c>
      <c r="F88">
        <v>17.600000000000001</v>
      </c>
      <c r="G88">
        <v>14.21</v>
      </c>
      <c r="H88" t="s">
        <v>9</v>
      </c>
      <c r="I88" t="s">
        <v>9</v>
      </c>
      <c r="J88" t="s">
        <v>9</v>
      </c>
      <c r="K88">
        <f t="shared" si="1"/>
        <v>0</v>
      </c>
      <c r="L88">
        <v>0</v>
      </c>
    </row>
    <row r="89" spans="1:12" x14ac:dyDescent="0.45">
      <c r="A89" t="s">
        <v>198</v>
      </c>
      <c r="B89">
        <v>0</v>
      </c>
      <c r="C89">
        <v>1</v>
      </c>
      <c r="D89">
        <v>1</v>
      </c>
      <c r="E89">
        <v>0</v>
      </c>
      <c r="F89">
        <v>17.7</v>
      </c>
      <c r="G89">
        <v>14.54</v>
      </c>
      <c r="H89">
        <v>38.770000000000003</v>
      </c>
      <c r="I89">
        <v>38.229999999999997</v>
      </c>
      <c r="J89">
        <v>37.4</v>
      </c>
      <c r="K89">
        <f t="shared" si="1"/>
        <v>38.133333333333333</v>
      </c>
      <c r="L89">
        <v>0</v>
      </c>
    </row>
    <row r="90" spans="1:12" x14ac:dyDescent="0.45">
      <c r="A90" t="s">
        <v>169</v>
      </c>
      <c r="B90">
        <v>0</v>
      </c>
      <c r="C90">
        <v>1</v>
      </c>
      <c r="D90">
        <v>1</v>
      </c>
      <c r="E90">
        <v>0</v>
      </c>
      <c r="F90">
        <v>17.7</v>
      </c>
      <c r="G90">
        <v>14.56</v>
      </c>
      <c r="H90" t="s">
        <v>9</v>
      </c>
      <c r="I90" t="s">
        <v>9</v>
      </c>
      <c r="J90" t="s">
        <v>9</v>
      </c>
      <c r="K90">
        <f t="shared" si="1"/>
        <v>0</v>
      </c>
      <c r="L90">
        <v>0</v>
      </c>
    </row>
    <row r="91" spans="1:12" x14ac:dyDescent="0.45">
      <c r="A91" t="s">
        <v>269</v>
      </c>
      <c r="B91">
        <v>0</v>
      </c>
      <c r="C91">
        <v>1</v>
      </c>
      <c r="D91">
        <v>1</v>
      </c>
      <c r="E91">
        <v>0</v>
      </c>
      <c r="F91">
        <v>17.7</v>
      </c>
      <c r="G91">
        <v>14.52</v>
      </c>
      <c r="H91">
        <v>39.53</v>
      </c>
      <c r="I91" t="s">
        <v>9</v>
      </c>
      <c r="J91">
        <v>37.99</v>
      </c>
      <c r="K91">
        <f>SUM(H91:J91)/2</f>
        <v>38.760000000000005</v>
      </c>
      <c r="L91">
        <v>0</v>
      </c>
    </row>
    <row r="92" spans="1:12" x14ac:dyDescent="0.45">
      <c r="A92" t="s">
        <v>250</v>
      </c>
      <c r="B92">
        <v>0</v>
      </c>
      <c r="C92">
        <v>1</v>
      </c>
      <c r="D92">
        <v>1</v>
      </c>
      <c r="E92">
        <v>0</v>
      </c>
      <c r="F92">
        <v>17.7</v>
      </c>
      <c r="G92">
        <v>14.23</v>
      </c>
      <c r="H92" t="s">
        <v>9</v>
      </c>
      <c r="I92" t="s">
        <v>9</v>
      </c>
      <c r="J92" t="s">
        <v>9</v>
      </c>
      <c r="K92">
        <f>SUM(H92:J92)/3</f>
        <v>0</v>
      </c>
      <c r="L92">
        <v>0</v>
      </c>
    </row>
    <row r="93" spans="1:12" x14ac:dyDescent="0.45">
      <c r="A93" t="s">
        <v>255</v>
      </c>
      <c r="B93">
        <v>0</v>
      </c>
      <c r="C93">
        <v>1</v>
      </c>
      <c r="D93">
        <v>1</v>
      </c>
      <c r="E93">
        <v>0</v>
      </c>
      <c r="F93">
        <v>17.600000000000001</v>
      </c>
      <c r="G93">
        <v>14.09</v>
      </c>
      <c r="H93">
        <v>36.92</v>
      </c>
      <c r="I93">
        <v>35.85</v>
      </c>
      <c r="J93">
        <v>39.54</v>
      </c>
      <c r="K93">
        <f>SUM(H93:J93)/3</f>
        <v>37.436666666666667</v>
      </c>
      <c r="L93">
        <v>1</v>
      </c>
    </row>
    <row r="94" spans="1:12" x14ac:dyDescent="0.45">
      <c r="A94" t="s">
        <v>299</v>
      </c>
      <c r="B94">
        <v>0</v>
      </c>
      <c r="C94">
        <v>1</v>
      </c>
      <c r="D94">
        <v>1</v>
      </c>
      <c r="E94">
        <v>0</v>
      </c>
      <c r="F94">
        <v>17.600000000000001</v>
      </c>
      <c r="G94">
        <v>14.11</v>
      </c>
      <c r="H94" t="s">
        <v>9</v>
      </c>
      <c r="I94">
        <v>37.450000000000003</v>
      </c>
      <c r="J94">
        <v>37.119999999999997</v>
      </c>
      <c r="K94">
        <f>SUM(H94:J94)/2</f>
        <v>37.284999999999997</v>
      </c>
      <c r="L94">
        <v>0</v>
      </c>
    </row>
    <row r="95" spans="1:12" x14ac:dyDescent="0.45">
      <c r="A95" t="s">
        <v>278</v>
      </c>
      <c r="B95">
        <v>0</v>
      </c>
      <c r="C95">
        <v>0</v>
      </c>
      <c r="D95">
        <v>1</v>
      </c>
      <c r="E95">
        <v>0</v>
      </c>
      <c r="F95">
        <v>17.600000000000001</v>
      </c>
      <c r="G95">
        <v>13.73</v>
      </c>
      <c r="H95">
        <v>38.869999999999997</v>
      </c>
      <c r="I95">
        <v>37.43</v>
      </c>
      <c r="J95">
        <v>36.74</v>
      </c>
      <c r="K95">
        <f>SUM(H95:J95)/3</f>
        <v>37.68</v>
      </c>
      <c r="L95">
        <v>0</v>
      </c>
    </row>
    <row r="96" spans="1:12" x14ac:dyDescent="0.45">
      <c r="A96" t="s">
        <v>282</v>
      </c>
      <c r="B96">
        <v>0</v>
      </c>
      <c r="C96">
        <v>1</v>
      </c>
      <c r="D96">
        <v>1</v>
      </c>
      <c r="E96">
        <v>1</v>
      </c>
      <c r="F96">
        <v>17.600000000000001</v>
      </c>
      <c r="G96">
        <v>13.62</v>
      </c>
      <c r="H96">
        <v>37.14</v>
      </c>
      <c r="I96" t="s">
        <v>9</v>
      </c>
      <c r="J96" t="s">
        <v>9</v>
      </c>
      <c r="K96">
        <f>SUM(H96:J96)/1</f>
        <v>37.14</v>
      </c>
      <c r="L96">
        <v>0</v>
      </c>
    </row>
    <row r="97" spans="1:12" x14ac:dyDescent="0.45">
      <c r="A97" t="s">
        <v>387</v>
      </c>
      <c r="B97">
        <v>0</v>
      </c>
      <c r="C97">
        <v>1</v>
      </c>
      <c r="D97">
        <v>1</v>
      </c>
      <c r="E97">
        <v>0</v>
      </c>
      <c r="F97">
        <v>17.600000000000001</v>
      </c>
      <c r="G97">
        <v>13.59</v>
      </c>
      <c r="H97">
        <v>37.380000000000003</v>
      </c>
      <c r="I97" t="s">
        <v>9</v>
      </c>
      <c r="J97">
        <v>36.4</v>
      </c>
      <c r="K97">
        <f>SUM(H97:J97)/2</f>
        <v>36.89</v>
      </c>
      <c r="L97">
        <v>1</v>
      </c>
    </row>
    <row r="98" spans="1:12" x14ac:dyDescent="0.45">
      <c r="A98" t="s">
        <v>184</v>
      </c>
      <c r="B98">
        <v>0</v>
      </c>
      <c r="C98">
        <v>1</v>
      </c>
      <c r="D98">
        <v>1</v>
      </c>
      <c r="E98">
        <v>0</v>
      </c>
      <c r="F98">
        <v>17.600000000000001</v>
      </c>
      <c r="G98">
        <v>13.24</v>
      </c>
      <c r="H98" t="s">
        <v>9</v>
      </c>
      <c r="I98" t="s">
        <v>9</v>
      </c>
      <c r="J98" t="s">
        <v>9</v>
      </c>
      <c r="K98">
        <f>SUM(H98:J98)/3</f>
        <v>0</v>
      </c>
      <c r="L98">
        <v>0</v>
      </c>
    </row>
    <row r="99" spans="1:12" x14ac:dyDescent="0.45">
      <c r="A99" t="s">
        <v>240</v>
      </c>
      <c r="B99">
        <v>0</v>
      </c>
      <c r="C99">
        <v>1</v>
      </c>
      <c r="D99">
        <v>1</v>
      </c>
      <c r="E99">
        <v>0</v>
      </c>
      <c r="F99">
        <v>17.5</v>
      </c>
      <c r="G99">
        <v>13.12</v>
      </c>
      <c r="H99" t="s">
        <v>9</v>
      </c>
      <c r="I99">
        <v>38.299999999999997</v>
      </c>
      <c r="J99">
        <v>36.43</v>
      </c>
      <c r="K99">
        <f>SUM(H99:J99)/2</f>
        <v>37.364999999999995</v>
      </c>
      <c r="L99">
        <v>0</v>
      </c>
    </row>
    <row r="100" spans="1:12" x14ac:dyDescent="0.45">
      <c r="A100" t="s">
        <v>188</v>
      </c>
      <c r="B100">
        <v>0</v>
      </c>
      <c r="C100">
        <v>1</v>
      </c>
      <c r="D100">
        <v>1</v>
      </c>
      <c r="E100">
        <v>0</v>
      </c>
      <c r="F100">
        <v>17.5</v>
      </c>
      <c r="G100">
        <v>13.62</v>
      </c>
      <c r="H100">
        <v>39.82</v>
      </c>
      <c r="I100">
        <v>39.340000000000003</v>
      </c>
      <c r="J100" t="s">
        <v>9</v>
      </c>
      <c r="K100">
        <f>SUM(H100:J100)/2</f>
        <v>39.58</v>
      </c>
      <c r="L100">
        <v>0</v>
      </c>
    </row>
    <row r="101" spans="1:12" x14ac:dyDescent="0.45">
      <c r="A101" t="s">
        <v>281</v>
      </c>
      <c r="B101">
        <v>0</v>
      </c>
      <c r="C101">
        <v>1</v>
      </c>
      <c r="D101">
        <v>1</v>
      </c>
      <c r="E101">
        <v>0</v>
      </c>
      <c r="F101">
        <v>17.5</v>
      </c>
      <c r="G101">
        <v>12.74</v>
      </c>
      <c r="H101" t="s">
        <v>9</v>
      </c>
      <c r="I101">
        <v>35.92</v>
      </c>
      <c r="J101">
        <v>37.130000000000003</v>
      </c>
      <c r="K101">
        <f>SUM(H101:J101)/2</f>
        <v>36.525000000000006</v>
      </c>
      <c r="L101">
        <v>1</v>
      </c>
    </row>
    <row r="102" spans="1:12" x14ac:dyDescent="0.45">
      <c r="A102" t="s">
        <v>310</v>
      </c>
      <c r="B102">
        <v>0</v>
      </c>
      <c r="C102">
        <v>0</v>
      </c>
      <c r="D102">
        <v>1</v>
      </c>
      <c r="E102">
        <v>0</v>
      </c>
      <c r="F102">
        <v>19.89</v>
      </c>
      <c r="G102">
        <v>4.46</v>
      </c>
      <c r="H102">
        <v>39.090000000000003</v>
      </c>
      <c r="I102" t="s">
        <v>9</v>
      </c>
      <c r="J102" t="s">
        <v>9</v>
      </c>
      <c r="K102">
        <f>SUM(H102:J102)/1</f>
        <v>39.090000000000003</v>
      </c>
      <c r="L102">
        <v>0</v>
      </c>
    </row>
    <row r="103" spans="1:12" x14ac:dyDescent="0.45">
      <c r="A103" t="s">
        <v>247</v>
      </c>
      <c r="B103">
        <v>0</v>
      </c>
      <c r="C103">
        <v>0</v>
      </c>
      <c r="D103">
        <v>1</v>
      </c>
      <c r="E103">
        <v>0</v>
      </c>
      <c r="F103">
        <v>19.920000000000002</v>
      </c>
      <c r="G103">
        <v>4.53</v>
      </c>
      <c r="H103">
        <v>37.94</v>
      </c>
      <c r="I103">
        <v>37.700000000000003</v>
      </c>
      <c r="J103">
        <v>37.76</v>
      </c>
      <c r="K103">
        <f>SUM(H103:J103)/3</f>
        <v>37.800000000000004</v>
      </c>
      <c r="L103">
        <v>0</v>
      </c>
    </row>
    <row r="104" spans="1:12" x14ac:dyDescent="0.45">
      <c r="A104" t="s">
        <v>267</v>
      </c>
      <c r="B104">
        <v>0</v>
      </c>
      <c r="C104">
        <v>0</v>
      </c>
      <c r="D104">
        <v>1</v>
      </c>
      <c r="E104">
        <v>0</v>
      </c>
      <c r="F104">
        <v>19.940000000000001</v>
      </c>
      <c r="G104">
        <v>4.58</v>
      </c>
      <c r="H104" t="s">
        <v>9</v>
      </c>
      <c r="I104">
        <v>36.82</v>
      </c>
      <c r="J104" t="s">
        <v>9</v>
      </c>
      <c r="K104">
        <f>SUM(H104:J104)/1</f>
        <v>36.82</v>
      </c>
      <c r="L104">
        <v>0</v>
      </c>
    </row>
    <row r="105" spans="1:12" x14ac:dyDescent="0.45">
      <c r="A105" t="s">
        <v>172</v>
      </c>
      <c r="B105">
        <v>0</v>
      </c>
      <c r="C105">
        <v>0</v>
      </c>
      <c r="D105">
        <v>1</v>
      </c>
      <c r="E105">
        <v>0</v>
      </c>
      <c r="F105">
        <v>19.95</v>
      </c>
      <c r="G105">
        <v>4.5999999999999996</v>
      </c>
      <c r="H105">
        <v>31.3</v>
      </c>
      <c r="I105" t="s">
        <v>9</v>
      </c>
      <c r="J105" t="s">
        <v>9</v>
      </c>
      <c r="K105">
        <f>SUM(H105:J105)/1</f>
        <v>31.3</v>
      </c>
      <c r="L105">
        <v>0</v>
      </c>
    </row>
    <row r="106" spans="1:12" x14ac:dyDescent="0.45">
      <c r="A106" t="s">
        <v>242</v>
      </c>
      <c r="B106">
        <v>0</v>
      </c>
      <c r="C106">
        <v>0</v>
      </c>
      <c r="D106">
        <v>1</v>
      </c>
      <c r="E106">
        <v>0</v>
      </c>
      <c r="F106">
        <v>19.97</v>
      </c>
      <c r="G106">
        <v>4.63</v>
      </c>
      <c r="H106" t="s">
        <v>9</v>
      </c>
      <c r="I106" t="s">
        <v>9</v>
      </c>
      <c r="J106">
        <v>37.909999999999997</v>
      </c>
      <c r="K106">
        <f>SUM(H106:J106)/1</f>
        <v>37.909999999999997</v>
      </c>
      <c r="L106">
        <v>0</v>
      </c>
    </row>
    <row r="107" spans="1:12" x14ac:dyDescent="0.45">
      <c r="A107" t="s">
        <v>293</v>
      </c>
      <c r="B107">
        <v>0</v>
      </c>
      <c r="C107">
        <v>0</v>
      </c>
      <c r="D107">
        <v>1</v>
      </c>
      <c r="E107">
        <v>0</v>
      </c>
      <c r="F107">
        <v>19.95</v>
      </c>
      <c r="G107">
        <v>4.74</v>
      </c>
      <c r="H107" t="s">
        <v>9</v>
      </c>
      <c r="I107">
        <v>36.57</v>
      </c>
      <c r="J107">
        <v>37.85</v>
      </c>
      <c r="K107">
        <f>SUM(H107:J107)/2</f>
        <v>37.21</v>
      </c>
      <c r="L107">
        <v>0</v>
      </c>
    </row>
    <row r="108" spans="1:12" x14ac:dyDescent="0.45">
      <c r="A108" t="s">
        <v>263</v>
      </c>
      <c r="B108">
        <v>0</v>
      </c>
      <c r="C108">
        <v>0</v>
      </c>
      <c r="D108">
        <v>1</v>
      </c>
      <c r="E108">
        <v>0</v>
      </c>
      <c r="F108">
        <v>20.02</v>
      </c>
      <c r="G108">
        <v>4.7</v>
      </c>
      <c r="H108" t="s">
        <v>9</v>
      </c>
      <c r="I108">
        <v>36.450000000000003</v>
      </c>
      <c r="J108">
        <v>37.5</v>
      </c>
      <c r="K108">
        <f>SUM(H108:J108)/2</f>
        <v>36.975000000000001</v>
      </c>
      <c r="L108">
        <v>1</v>
      </c>
    </row>
    <row r="109" spans="1:12" x14ac:dyDescent="0.45">
      <c r="A109" t="s">
        <v>163</v>
      </c>
      <c r="B109">
        <v>0</v>
      </c>
      <c r="C109">
        <v>0</v>
      </c>
      <c r="D109">
        <v>1</v>
      </c>
      <c r="E109">
        <v>1</v>
      </c>
      <c r="F109">
        <v>20.07</v>
      </c>
      <c r="G109">
        <v>4.82</v>
      </c>
      <c r="H109" t="s">
        <v>9</v>
      </c>
      <c r="I109" t="s">
        <v>9</v>
      </c>
      <c r="J109">
        <v>38.76</v>
      </c>
      <c r="K109">
        <f>SUM(H109:J109)/1</f>
        <v>38.76</v>
      </c>
      <c r="L109">
        <v>0</v>
      </c>
    </row>
    <row r="110" spans="1:12" x14ac:dyDescent="0.45">
      <c r="A110" t="s">
        <v>236</v>
      </c>
      <c r="B110">
        <v>0</v>
      </c>
      <c r="C110">
        <v>0</v>
      </c>
      <c r="D110">
        <v>1</v>
      </c>
      <c r="E110">
        <v>0</v>
      </c>
      <c r="F110">
        <v>20.07</v>
      </c>
      <c r="G110">
        <v>4.7699999999999996</v>
      </c>
      <c r="H110" t="s">
        <v>9</v>
      </c>
      <c r="I110" t="s">
        <v>9</v>
      </c>
      <c r="J110" t="s">
        <v>9</v>
      </c>
      <c r="K110">
        <f>SUM(H110:J110)/3</f>
        <v>0</v>
      </c>
      <c r="L110">
        <v>0</v>
      </c>
    </row>
    <row r="111" spans="1:12" x14ac:dyDescent="0.45">
      <c r="A111" t="s">
        <v>209</v>
      </c>
      <c r="B111">
        <v>0</v>
      </c>
      <c r="C111">
        <v>0</v>
      </c>
      <c r="D111">
        <v>1</v>
      </c>
      <c r="E111">
        <v>0</v>
      </c>
      <c r="F111">
        <v>19.98</v>
      </c>
      <c r="G111">
        <v>4.7</v>
      </c>
      <c r="H111" t="s">
        <v>9</v>
      </c>
      <c r="I111" t="s">
        <v>9</v>
      </c>
      <c r="J111" t="s">
        <v>9</v>
      </c>
      <c r="K111">
        <f>SUM(H111:J111)/3</f>
        <v>0</v>
      </c>
      <c r="L111">
        <v>0</v>
      </c>
    </row>
    <row r="112" spans="1:12" x14ac:dyDescent="0.45">
      <c r="A112" t="s">
        <v>264</v>
      </c>
      <c r="B112">
        <v>0</v>
      </c>
      <c r="C112">
        <v>0</v>
      </c>
      <c r="D112">
        <v>1</v>
      </c>
      <c r="E112">
        <v>1</v>
      </c>
      <c r="F112">
        <v>19.68</v>
      </c>
      <c r="G112">
        <v>5.0999999999999996</v>
      </c>
      <c r="H112" t="s">
        <v>9</v>
      </c>
      <c r="I112">
        <v>36.69</v>
      </c>
      <c r="J112">
        <v>36.54</v>
      </c>
      <c r="K112">
        <f>SUM(H112:J112)/2</f>
        <v>36.614999999999995</v>
      </c>
      <c r="L112">
        <v>1</v>
      </c>
    </row>
    <row r="113" spans="1:12" x14ac:dyDescent="0.45">
      <c r="A113" t="s">
        <v>272</v>
      </c>
      <c r="B113">
        <v>0</v>
      </c>
      <c r="C113">
        <v>0</v>
      </c>
      <c r="D113">
        <v>1</v>
      </c>
      <c r="E113">
        <v>0</v>
      </c>
      <c r="F113">
        <v>19.71</v>
      </c>
      <c r="H113" t="s">
        <v>9</v>
      </c>
      <c r="I113">
        <v>36.659999999999997</v>
      </c>
      <c r="J113">
        <v>39.49</v>
      </c>
      <c r="K113">
        <f>SUM(H113:J113)/2</f>
        <v>38.075000000000003</v>
      </c>
      <c r="L113">
        <v>1</v>
      </c>
    </row>
    <row r="114" spans="1:12" x14ac:dyDescent="0.45">
      <c r="A114" t="s">
        <v>268</v>
      </c>
      <c r="B114">
        <v>0</v>
      </c>
      <c r="C114">
        <v>0</v>
      </c>
      <c r="D114">
        <v>0</v>
      </c>
      <c r="E114">
        <v>0</v>
      </c>
      <c r="F114">
        <v>19.75</v>
      </c>
      <c r="H114" t="s">
        <v>9</v>
      </c>
      <c r="I114" t="s">
        <v>9</v>
      </c>
      <c r="J114">
        <v>37.729999999999997</v>
      </c>
      <c r="K114">
        <f>SUM(H114:J114)/1</f>
        <v>37.729999999999997</v>
      </c>
      <c r="L114">
        <v>0</v>
      </c>
    </row>
    <row r="115" spans="1:12" x14ac:dyDescent="0.45">
      <c r="A115" t="s">
        <v>274</v>
      </c>
      <c r="B115">
        <v>0</v>
      </c>
      <c r="C115">
        <v>0</v>
      </c>
      <c r="D115">
        <v>1</v>
      </c>
      <c r="E115">
        <v>0</v>
      </c>
      <c r="F115">
        <v>19.73</v>
      </c>
      <c r="G115">
        <v>4.91</v>
      </c>
      <c r="H115">
        <v>37.6</v>
      </c>
      <c r="I115">
        <v>37.94</v>
      </c>
      <c r="J115" t="s">
        <v>9</v>
      </c>
      <c r="K115">
        <f>SUM(H115:J115)/2</f>
        <v>37.769999999999996</v>
      </c>
      <c r="L115">
        <v>0</v>
      </c>
    </row>
    <row r="116" spans="1:12" x14ac:dyDescent="0.45">
      <c r="A116" t="s">
        <v>183</v>
      </c>
      <c r="B116">
        <v>0</v>
      </c>
      <c r="C116">
        <v>0</v>
      </c>
      <c r="D116">
        <v>1</v>
      </c>
      <c r="E116">
        <v>1</v>
      </c>
      <c r="F116">
        <v>19.73</v>
      </c>
      <c r="G116">
        <v>4.84</v>
      </c>
      <c r="H116" t="s">
        <v>9</v>
      </c>
      <c r="I116" t="s">
        <v>9</v>
      </c>
      <c r="J116" t="s">
        <v>9</v>
      </c>
      <c r="K116">
        <f>SUM(H116:J116)/3</f>
        <v>0</v>
      </c>
      <c r="L116">
        <v>0</v>
      </c>
    </row>
    <row r="117" spans="1:12" x14ac:dyDescent="0.45">
      <c r="A117" t="s">
        <v>217</v>
      </c>
      <c r="B117">
        <v>0</v>
      </c>
      <c r="C117">
        <v>0</v>
      </c>
      <c r="D117">
        <v>1</v>
      </c>
      <c r="E117">
        <v>0</v>
      </c>
      <c r="F117">
        <v>19.73</v>
      </c>
      <c r="G117">
        <v>4.79</v>
      </c>
      <c r="H117">
        <v>37.35</v>
      </c>
      <c r="I117">
        <v>39.79</v>
      </c>
      <c r="J117" t="s">
        <v>9</v>
      </c>
      <c r="K117">
        <f>SUM(H117:J117)/2</f>
        <v>38.57</v>
      </c>
      <c r="L117">
        <v>0</v>
      </c>
    </row>
    <row r="118" spans="1:12" x14ac:dyDescent="0.45">
      <c r="A118" t="s">
        <v>167</v>
      </c>
      <c r="B118">
        <v>0</v>
      </c>
      <c r="C118">
        <v>0</v>
      </c>
      <c r="D118">
        <v>1</v>
      </c>
      <c r="E118">
        <v>0</v>
      </c>
      <c r="F118">
        <v>19.73</v>
      </c>
      <c r="G118">
        <v>4.72</v>
      </c>
      <c r="H118" t="s">
        <v>9</v>
      </c>
      <c r="I118" t="s">
        <v>9</v>
      </c>
      <c r="J118" t="s">
        <v>9</v>
      </c>
      <c r="K118">
        <f>SUM(H118:J118)/3</f>
        <v>0</v>
      </c>
      <c r="L118">
        <v>0</v>
      </c>
    </row>
    <row r="119" spans="1:12" x14ac:dyDescent="0.45">
      <c r="A119" t="s">
        <v>298</v>
      </c>
      <c r="B119">
        <v>1</v>
      </c>
      <c r="C119">
        <v>0</v>
      </c>
      <c r="D119">
        <v>1</v>
      </c>
      <c r="E119">
        <v>0</v>
      </c>
      <c r="F119">
        <v>19.739999999999998</v>
      </c>
      <c r="G119">
        <v>4.63</v>
      </c>
      <c r="H119" t="s">
        <v>9</v>
      </c>
      <c r="I119">
        <v>36.409999999999997</v>
      </c>
      <c r="J119">
        <v>35.89</v>
      </c>
      <c r="K119">
        <f>SUM(H119:J119)/2</f>
        <v>36.15</v>
      </c>
      <c r="L119">
        <v>1</v>
      </c>
    </row>
    <row r="120" spans="1:12" x14ac:dyDescent="0.45">
      <c r="A120" t="s">
        <v>262</v>
      </c>
      <c r="B120">
        <v>0</v>
      </c>
      <c r="C120">
        <v>0</v>
      </c>
      <c r="D120">
        <v>1</v>
      </c>
      <c r="E120">
        <v>0</v>
      </c>
      <c r="F120">
        <v>19.760000000000002</v>
      </c>
      <c r="H120" t="s">
        <v>9</v>
      </c>
      <c r="I120" t="s">
        <v>9</v>
      </c>
      <c r="J120">
        <v>38.380000000000003</v>
      </c>
      <c r="K120">
        <f>SUM(H120:J120)/1</f>
        <v>38.380000000000003</v>
      </c>
      <c r="L120">
        <v>0</v>
      </c>
    </row>
    <row r="121" spans="1:12" x14ac:dyDescent="0.45">
      <c r="A121" t="s">
        <v>226</v>
      </c>
      <c r="B121">
        <v>0</v>
      </c>
      <c r="C121">
        <v>0</v>
      </c>
      <c r="D121">
        <v>1</v>
      </c>
      <c r="E121">
        <v>0</v>
      </c>
      <c r="F121">
        <v>19.78</v>
      </c>
      <c r="G121">
        <v>4.4400000000000004</v>
      </c>
      <c r="H121">
        <v>37.950000000000003</v>
      </c>
      <c r="I121">
        <v>37.74</v>
      </c>
      <c r="J121" t="s">
        <v>9</v>
      </c>
      <c r="K121">
        <f>SUM(H121:J121)/2</f>
        <v>37.844999999999999</v>
      </c>
      <c r="L121">
        <v>0</v>
      </c>
    </row>
    <row r="122" spans="1:12" x14ac:dyDescent="0.45">
      <c r="A122" t="s">
        <v>162</v>
      </c>
      <c r="B122">
        <v>1</v>
      </c>
      <c r="C122">
        <v>0</v>
      </c>
      <c r="D122">
        <v>1</v>
      </c>
      <c r="E122">
        <v>0</v>
      </c>
      <c r="F122">
        <v>19.75</v>
      </c>
      <c r="G122">
        <v>4.63</v>
      </c>
      <c r="H122" t="s">
        <v>9</v>
      </c>
      <c r="I122" t="s">
        <v>9</v>
      </c>
      <c r="J122" t="s">
        <v>9</v>
      </c>
      <c r="K122">
        <f>SUM(H122:J122)/3</f>
        <v>0</v>
      </c>
      <c r="L122">
        <v>0</v>
      </c>
    </row>
    <row r="123" spans="1:12" x14ac:dyDescent="0.45">
      <c r="A123" t="s">
        <v>295</v>
      </c>
      <c r="B123">
        <v>0</v>
      </c>
      <c r="C123">
        <v>0</v>
      </c>
      <c r="D123">
        <v>1</v>
      </c>
      <c r="E123">
        <v>0</v>
      </c>
      <c r="F123">
        <v>19.71</v>
      </c>
      <c r="G123">
        <v>4.72</v>
      </c>
      <c r="H123" t="s">
        <v>9</v>
      </c>
      <c r="I123" t="s">
        <v>9</v>
      </c>
      <c r="J123">
        <v>36.26</v>
      </c>
      <c r="K123">
        <f>SUM(H123:J123)/1</f>
        <v>36.26</v>
      </c>
      <c r="L123">
        <v>0</v>
      </c>
    </row>
    <row r="124" spans="1:12" x14ac:dyDescent="0.45">
      <c r="A124" t="s">
        <v>196</v>
      </c>
      <c r="B124">
        <v>0</v>
      </c>
      <c r="C124">
        <v>0</v>
      </c>
      <c r="D124">
        <v>1</v>
      </c>
      <c r="E124">
        <v>0</v>
      </c>
      <c r="F124">
        <v>19.64</v>
      </c>
      <c r="G124">
        <v>4.84</v>
      </c>
      <c r="H124" t="s">
        <v>9</v>
      </c>
      <c r="I124" t="s">
        <v>9</v>
      </c>
      <c r="J124">
        <v>37.74</v>
      </c>
      <c r="K124">
        <f>SUM(H124:J124)/1</f>
        <v>37.74</v>
      </c>
      <c r="L124">
        <v>0</v>
      </c>
    </row>
    <row r="125" spans="1:12" x14ac:dyDescent="0.45">
      <c r="A125" t="s">
        <v>187</v>
      </c>
      <c r="B125">
        <v>0</v>
      </c>
      <c r="C125">
        <v>0</v>
      </c>
      <c r="D125">
        <v>1</v>
      </c>
      <c r="E125">
        <v>1</v>
      </c>
      <c r="F125">
        <v>19.59</v>
      </c>
      <c r="G125">
        <v>4.84</v>
      </c>
      <c r="H125">
        <v>39.26</v>
      </c>
      <c r="I125" t="s">
        <v>9</v>
      </c>
      <c r="J125" t="s">
        <v>9</v>
      </c>
      <c r="K125">
        <f>SUM(H125:J125)/1</f>
        <v>39.26</v>
      </c>
      <c r="L125">
        <v>0</v>
      </c>
    </row>
    <row r="126" spans="1:12" x14ac:dyDescent="0.45">
      <c r="A126" t="s">
        <v>208</v>
      </c>
      <c r="B126">
        <v>0</v>
      </c>
      <c r="C126">
        <v>0</v>
      </c>
      <c r="D126">
        <v>1</v>
      </c>
      <c r="E126">
        <v>0</v>
      </c>
      <c r="F126">
        <v>19.510000000000002</v>
      </c>
      <c r="G126">
        <v>5</v>
      </c>
      <c r="H126">
        <v>37.5</v>
      </c>
      <c r="I126" t="s">
        <v>9</v>
      </c>
      <c r="J126">
        <v>37.65</v>
      </c>
      <c r="K126">
        <f>SUM(H126:J126)/2</f>
        <v>37.575000000000003</v>
      </c>
      <c r="L126">
        <v>0</v>
      </c>
    </row>
    <row r="127" spans="1:12" x14ac:dyDescent="0.45">
      <c r="A127" t="s">
        <v>228</v>
      </c>
      <c r="B127">
        <v>0</v>
      </c>
      <c r="C127">
        <v>0</v>
      </c>
      <c r="D127">
        <v>1</v>
      </c>
      <c r="E127">
        <v>0</v>
      </c>
      <c r="F127">
        <v>19.47</v>
      </c>
      <c r="G127">
        <v>4.96</v>
      </c>
      <c r="H127">
        <v>37.229999999999997</v>
      </c>
      <c r="I127">
        <v>36.770000000000003</v>
      </c>
      <c r="J127">
        <v>37.21</v>
      </c>
      <c r="K127">
        <f>SUM(H127:J127)/3</f>
        <v>37.07</v>
      </c>
      <c r="L127">
        <v>0</v>
      </c>
    </row>
    <row r="128" spans="1:12" x14ac:dyDescent="0.45">
      <c r="A128" t="s">
        <v>253</v>
      </c>
      <c r="B128">
        <v>0</v>
      </c>
      <c r="C128">
        <v>0</v>
      </c>
      <c r="D128">
        <v>1</v>
      </c>
      <c r="E128">
        <v>0</v>
      </c>
      <c r="F128">
        <v>19.43</v>
      </c>
      <c r="G128">
        <v>5.08</v>
      </c>
      <c r="H128">
        <v>39.090000000000003</v>
      </c>
      <c r="I128" t="s">
        <v>9</v>
      </c>
      <c r="J128">
        <v>37.729999999999997</v>
      </c>
      <c r="K128">
        <f>SUM(H128:J128)/2</f>
        <v>38.409999999999997</v>
      </c>
      <c r="L128">
        <v>0</v>
      </c>
    </row>
    <row r="129" spans="1:12" x14ac:dyDescent="0.45">
      <c r="A129" t="s">
        <v>241</v>
      </c>
      <c r="B129">
        <v>0</v>
      </c>
      <c r="C129">
        <v>0</v>
      </c>
      <c r="D129">
        <v>1</v>
      </c>
      <c r="E129">
        <v>0</v>
      </c>
      <c r="F129">
        <v>19.43</v>
      </c>
      <c r="G129">
        <v>5.15</v>
      </c>
      <c r="H129">
        <v>37.270000000000003</v>
      </c>
      <c r="I129">
        <v>38.61</v>
      </c>
      <c r="J129" t="s">
        <v>9</v>
      </c>
      <c r="K129">
        <f>SUM(H129:J129)/2</f>
        <v>37.94</v>
      </c>
      <c r="L129">
        <v>0</v>
      </c>
    </row>
    <row r="130" spans="1:12" x14ac:dyDescent="0.45">
      <c r="A130" t="s">
        <v>176</v>
      </c>
      <c r="B130">
        <v>0</v>
      </c>
      <c r="C130">
        <v>0</v>
      </c>
      <c r="D130">
        <v>1</v>
      </c>
      <c r="E130">
        <v>1</v>
      </c>
      <c r="F130">
        <v>19.45</v>
      </c>
      <c r="G130">
        <v>5.22</v>
      </c>
      <c r="H130" t="s">
        <v>9</v>
      </c>
      <c r="I130">
        <v>39.85</v>
      </c>
      <c r="J130" t="s">
        <v>9</v>
      </c>
      <c r="K130">
        <f>SUM(H130:J130)/1</f>
        <v>39.85</v>
      </c>
      <c r="L130">
        <v>0</v>
      </c>
    </row>
    <row r="131" spans="1:12" x14ac:dyDescent="0.45">
      <c r="A131" t="s">
        <v>160</v>
      </c>
      <c r="B131">
        <v>0</v>
      </c>
      <c r="C131">
        <v>0</v>
      </c>
      <c r="D131">
        <v>1</v>
      </c>
      <c r="E131">
        <v>0</v>
      </c>
      <c r="F131">
        <v>19.510000000000002</v>
      </c>
      <c r="G131">
        <v>5.17</v>
      </c>
      <c r="H131">
        <v>38.700000000000003</v>
      </c>
      <c r="I131">
        <v>38</v>
      </c>
      <c r="J131" t="s">
        <v>9</v>
      </c>
      <c r="K131">
        <f>SUM(H131:J131)/2</f>
        <v>38.35</v>
      </c>
      <c r="L131">
        <v>0</v>
      </c>
    </row>
    <row r="132" spans="1:12" x14ac:dyDescent="0.45">
      <c r="A132" t="s">
        <v>201</v>
      </c>
      <c r="B132">
        <v>0</v>
      </c>
      <c r="C132">
        <v>0</v>
      </c>
      <c r="D132">
        <v>1</v>
      </c>
      <c r="E132">
        <v>0</v>
      </c>
      <c r="F132">
        <v>19.690000000000001</v>
      </c>
      <c r="G132">
        <v>5.41</v>
      </c>
      <c r="H132">
        <v>37.76</v>
      </c>
      <c r="I132" t="s">
        <v>9</v>
      </c>
      <c r="J132">
        <v>38.65</v>
      </c>
      <c r="K132">
        <f>SUM(H132:J132)/2</f>
        <v>38.204999999999998</v>
      </c>
      <c r="L132">
        <v>0</v>
      </c>
    </row>
    <row r="133" spans="1:12" x14ac:dyDescent="0.45">
      <c r="A133" t="s">
        <v>179</v>
      </c>
      <c r="B133">
        <v>0</v>
      </c>
      <c r="C133">
        <v>0</v>
      </c>
      <c r="D133">
        <v>1</v>
      </c>
      <c r="E133">
        <v>0</v>
      </c>
      <c r="F133">
        <v>19.68</v>
      </c>
      <c r="G133">
        <v>5.34</v>
      </c>
      <c r="H133">
        <v>37.9</v>
      </c>
      <c r="I133" t="s">
        <v>9</v>
      </c>
      <c r="J133" t="s">
        <v>9</v>
      </c>
      <c r="K133">
        <f>SUM(H133:J133)/1</f>
        <v>37.9</v>
      </c>
      <c r="L133">
        <v>0</v>
      </c>
    </row>
    <row r="134" spans="1:12" x14ac:dyDescent="0.45">
      <c r="A134" t="s">
        <v>197</v>
      </c>
      <c r="B134">
        <v>0</v>
      </c>
      <c r="C134">
        <v>0</v>
      </c>
      <c r="D134">
        <v>1</v>
      </c>
      <c r="E134">
        <v>0</v>
      </c>
      <c r="F134">
        <v>19.68</v>
      </c>
      <c r="G134">
        <v>5.27</v>
      </c>
      <c r="H134">
        <v>38.56</v>
      </c>
      <c r="I134">
        <v>37.07</v>
      </c>
      <c r="J134">
        <v>36.43</v>
      </c>
      <c r="K134">
        <f>SUM(H134:J134)/3</f>
        <v>37.353333333333332</v>
      </c>
      <c r="L134">
        <v>0</v>
      </c>
    </row>
    <row r="135" spans="1:12" x14ac:dyDescent="0.45">
      <c r="A135" t="s">
        <v>244</v>
      </c>
      <c r="B135">
        <v>1</v>
      </c>
      <c r="C135">
        <v>0</v>
      </c>
      <c r="D135">
        <v>1</v>
      </c>
      <c r="E135">
        <v>0</v>
      </c>
      <c r="F135">
        <v>19.649999999999999</v>
      </c>
      <c r="G135">
        <v>5.15</v>
      </c>
      <c r="H135">
        <v>37.340000000000003</v>
      </c>
      <c r="I135" t="s">
        <v>9</v>
      </c>
      <c r="J135">
        <v>38.18</v>
      </c>
      <c r="K135">
        <f>SUM(H135:J135)/2</f>
        <v>37.760000000000005</v>
      </c>
      <c r="L135">
        <v>0</v>
      </c>
    </row>
    <row r="136" spans="1:12" x14ac:dyDescent="0.45">
      <c r="A136" t="s">
        <v>260</v>
      </c>
      <c r="B136">
        <v>0</v>
      </c>
      <c r="C136">
        <v>0</v>
      </c>
      <c r="D136">
        <v>1</v>
      </c>
      <c r="E136">
        <v>0</v>
      </c>
      <c r="F136">
        <v>19.559999999999999</v>
      </c>
      <c r="G136">
        <v>5.05</v>
      </c>
      <c r="H136" t="s">
        <v>9</v>
      </c>
      <c r="I136">
        <v>38.51</v>
      </c>
      <c r="J136">
        <v>36.04</v>
      </c>
      <c r="K136">
        <f>SUM(H136:J136)/2</f>
        <v>37.274999999999999</v>
      </c>
      <c r="L136">
        <v>0</v>
      </c>
    </row>
    <row r="137" spans="1:12" x14ac:dyDescent="0.45">
      <c r="A137" t="s">
        <v>271</v>
      </c>
      <c r="B137">
        <v>0</v>
      </c>
      <c r="C137">
        <v>0</v>
      </c>
      <c r="D137">
        <v>1</v>
      </c>
      <c r="E137">
        <v>0</v>
      </c>
      <c r="F137">
        <v>19.47</v>
      </c>
      <c r="H137">
        <v>36.72</v>
      </c>
      <c r="I137">
        <v>36.56</v>
      </c>
      <c r="J137" t="s">
        <v>9</v>
      </c>
      <c r="K137">
        <f>SUM(H137:J137)/2</f>
        <v>36.64</v>
      </c>
      <c r="L137">
        <v>1</v>
      </c>
    </row>
    <row r="138" spans="1:12" x14ac:dyDescent="0.45">
      <c r="A138" t="s">
        <v>261</v>
      </c>
      <c r="B138">
        <v>0</v>
      </c>
      <c r="C138">
        <v>0</v>
      </c>
      <c r="D138">
        <v>1</v>
      </c>
      <c r="E138">
        <v>0</v>
      </c>
      <c r="F138">
        <v>19.43</v>
      </c>
      <c r="G138">
        <v>4.8899999999999997</v>
      </c>
      <c r="H138" t="s">
        <v>9</v>
      </c>
      <c r="I138" t="s">
        <v>9</v>
      </c>
      <c r="J138">
        <v>37.56</v>
      </c>
      <c r="K138">
        <f>SUM(H138:J138)/1</f>
        <v>37.56</v>
      </c>
      <c r="L138">
        <v>0</v>
      </c>
    </row>
    <row r="139" spans="1:12" x14ac:dyDescent="0.45">
      <c r="A139" t="s">
        <v>280</v>
      </c>
      <c r="B139">
        <v>0</v>
      </c>
      <c r="C139">
        <v>0</v>
      </c>
      <c r="D139">
        <v>1</v>
      </c>
      <c r="E139">
        <v>0</v>
      </c>
      <c r="F139">
        <v>19.46</v>
      </c>
      <c r="G139">
        <v>4.8600000000000003</v>
      </c>
      <c r="H139">
        <v>37.74</v>
      </c>
      <c r="I139" t="s">
        <v>9</v>
      </c>
      <c r="J139" t="s">
        <v>9</v>
      </c>
      <c r="K139">
        <f>SUM(H139:J139)/1</f>
        <v>37.74</v>
      </c>
      <c r="L139">
        <v>0</v>
      </c>
    </row>
    <row r="140" spans="1:12" x14ac:dyDescent="0.45">
      <c r="A140" t="s">
        <v>185</v>
      </c>
      <c r="B140">
        <v>0</v>
      </c>
      <c r="C140">
        <v>0</v>
      </c>
      <c r="D140">
        <v>1</v>
      </c>
      <c r="E140">
        <v>0</v>
      </c>
      <c r="F140">
        <v>19.45</v>
      </c>
      <c r="G140">
        <v>4.93</v>
      </c>
      <c r="H140">
        <v>38.28</v>
      </c>
      <c r="I140">
        <v>38.950000000000003</v>
      </c>
      <c r="J140" t="s">
        <v>9</v>
      </c>
      <c r="K140">
        <f>SUM(H140:J140)/2</f>
        <v>38.615000000000002</v>
      </c>
      <c r="L140">
        <v>0</v>
      </c>
    </row>
    <row r="141" spans="1:12" x14ac:dyDescent="0.45">
      <c r="A141" t="s">
        <v>296</v>
      </c>
      <c r="B141">
        <v>1</v>
      </c>
      <c r="C141">
        <v>1</v>
      </c>
      <c r="D141">
        <v>0</v>
      </c>
      <c r="E141">
        <v>1</v>
      </c>
      <c r="F141">
        <v>19.45</v>
      </c>
      <c r="G141">
        <v>4.79</v>
      </c>
      <c r="H141">
        <v>37.58</v>
      </c>
      <c r="I141" t="s">
        <v>9</v>
      </c>
      <c r="J141" t="s">
        <v>9</v>
      </c>
      <c r="K141">
        <f>SUM(H141:J141)/1</f>
        <v>37.58</v>
      </c>
      <c r="L141">
        <v>0</v>
      </c>
    </row>
    <row r="142" spans="1:12" x14ac:dyDescent="0.45">
      <c r="A142" t="s">
        <v>218</v>
      </c>
      <c r="B142">
        <v>0</v>
      </c>
      <c r="C142">
        <v>0</v>
      </c>
      <c r="D142">
        <v>1</v>
      </c>
      <c r="E142">
        <v>0</v>
      </c>
      <c r="F142">
        <v>19.48</v>
      </c>
      <c r="G142">
        <v>4.8600000000000003</v>
      </c>
      <c r="H142">
        <v>36.9</v>
      </c>
      <c r="I142">
        <v>37.299999999999997</v>
      </c>
      <c r="J142" t="s">
        <v>9</v>
      </c>
      <c r="K142">
        <f>SUM(H142:J142)/2</f>
        <v>37.099999999999994</v>
      </c>
      <c r="L142">
        <v>0</v>
      </c>
    </row>
    <row r="143" spans="1:12" x14ac:dyDescent="0.45">
      <c r="A143" t="s">
        <v>216</v>
      </c>
      <c r="B143">
        <v>1</v>
      </c>
      <c r="C143">
        <v>0</v>
      </c>
      <c r="D143">
        <v>1</v>
      </c>
      <c r="E143">
        <v>0</v>
      </c>
      <c r="F143">
        <v>19.47</v>
      </c>
      <c r="G143">
        <v>4.91</v>
      </c>
      <c r="H143" t="s">
        <v>9</v>
      </c>
      <c r="I143">
        <v>39.83</v>
      </c>
      <c r="J143" t="s">
        <v>9</v>
      </c>
      <c r="K143">
        <f>SUM(H143:J143)/1</f>
        <v>39.83</v>
      </c>
      <c r="L143">
        <v>0</v>
      </c>
    </row>
    <row r="144" spans="1:12" x14ac:dyDescent="0.45">
      <c r="A144" t="s">
        <v>285</v>
      </c>
      <c r="B144">
        <v>0</v>
      </c>
      <c r="C144">
        <v>0</v>
      </c>
      <c r="D144">
        <v>1</v>
      </c>
      <c r="E144">
        <v>1</v>
      </c>
      <c r="F144">
        <v>19.43</v>
      </c>
      <c r="G144">
        <v>5.05</v>
      </c>
      <c r="H144">
        <v>37.42</v>
      </c>
      <c r="I144">
        <v>37.83</v>
      </c>
      <c r="J144" t="s">
        <v>9</v>
      </c>
      <c r="K144">
        <f>SUM(H144:J144)/2</f>
        <v>37.625</v>
      </c>
      <c r="L144">
        <v>0</v>
      </c>
    </row>
    <row r="145" spans="1:12" x14ac:dyDescent="0.45">
      <c r="A145" t="s">
        <v>205</v>
      </c>
      <c r="B145">
        <v>0</v>
      </c>
      <c r="C145">
        <v>0</v>
      </c>
      <c r="D145">
        <v>1</v>
      </c>
      <c r="E145">
        <v>1</v>
      </c>
      <c r="F145">
        <v>19.43</v>
      </c>
      <c r="G145">
        <v>5.03</v>
      </c>
      <c r="H145" t="s">
        <v>9</v>
      </c>
      <c r="I145" t="s">
        <v>9</v>
      </c>
      <c r="J145">
        <v>36.299999999999997</v>
      </c>
      <c r="K145">
        <f>SUM(H145:J145)/1</f>
        <v>36.299999999999997</v>
      </c>
      <c r="L145">
        <v>0</v>
      </c>
    </row>
    <row r="146" spans="1:12" x14ac:dyDescent="0.45">
      <c r="A146" t="s">
        <v>180</v>
      </c>
      <c r="B146">
        <v>0</v>
      </c>
      <c r="C146">
        <v>0</v>
      </c>
      <c r="D146">
        <v>1</v>
      </c>
      <c r="E146">
        <v>1</v>
      </c>
      <c r="F146">
        <v>19.46</v>
      </c>
      <c r="G146">
        <v>5.22</v>
      </c>
      <c r="H146" t="s">
        <v>9</v>
      </c>
      <c r="I146" t="s">
        <v>9</v>
      </c>
      <c r="J146" t="s">
        <v>9</v>
      </c>
      <c r="K146">
        <f>SUM(H146:J146)/3</f>
        <v>0</v>
      </c>
      <c r="L146">
        <v>0</v>
      </c>
    </row>
    <row r="147" spans="1:12" x14ac:dyDescent="0.45">
      <c r="A147" t="s">
        <v>291</v>
      </c>
      <c r="B147">
        <v>1</v>
      </c>
      <c r="C147">
        <v>0</v>
      </c>
      <c r="D147">
        <v>1</v>
      </c>
      <c r="E147">
        <v>1</v>
      </c>
      <c r="F147">
        <v>19.52</v>
      </c>
      <c r="G147">
        <v>5.17</v>
      </c>
      <c r="H147" t="s">
        <v>9</v>
      </c>
      <c r="I147" t="s">
        <v>9</v>
      </c>
      <c r="J147" t="s">
        <v>9</v>
      </c>
      <c r="K147">
        <f>SUM(H147:J147)/3</f>
        <v>0</v>
      </c>
      <c r="L147">
        <v>0</v>
      </c>
    </row>
    <row r="148" spans="1:12" x14ac:dyDescent="0.45">
      <c r="A148" t="s">
        <v>254</v>
      </c>
      <c r="B148">
        <v>0</v>
      </c>
      <c r="C148">
        <v>0</v>
      </c>
      <c r="D148">
        <v>1</v>
      </c>
      <c r="E148">
        <v>1</v>
      </c>
      <c r="H148" t="s">
        <v>9</v>
      </c>
      <c r="I148" t="s">
        <v>9</v>
      </c>
      <c r="J148" t="s">
        <v>9</v>
      </c>
      <c r="K148">
        <f>SUM(H148:J148)/3</f>
        <v>0</v>
      </c>
      <c r="L148">
        <v>0</v>
      </c>
    </row>
    <row r="149" spans="1:12" x14ac:dyDescent="0.45">
      <c r="A149" t="s">
        <v>286</v>
      </c>
      <c r="B149">
        <v>0</v>
      </c>
      <c r="C149">
        <v>0</v>
      </c>
      <c r="D149">
        <v>1</v>
      </c>
      <c r="E149">
        <v>0</v>
      </c>
      <c r="F149">
        <v>19.71</v>
      </c>
      <c r="G149">
        <v>5.22</v>
      </c>
      <c r="H149" t="s">
        <v>9</v>
      </c>
      <c r="I149">
        <v>35.83</v>
      </c>
      <c r="J149">
        <v>37.840000000000003</v>
      </c>
      <c r="K149">
        <f>SUM(H149:J149)/2</f>
        <v>36.835000000000001</v>
      </c>
      <c r="L149">
        <v>1</v>
      </c>
    </row>
    <row r="150" spans="1:12" x14ac:dyDescent="0.45">
      <c r="A150" t="s">
        <v>237</v>
      </c>
      <c r="B150">
        <v>0</v>
      </c>
      <c r="C150">
        <v>0</v>
      </c>
      <c r="D150">
        <v>1</v>
      </c>
      <c r="E150">
        <v>0</v>
      </c>
      <c r="F150">
        <v>19.75</v>
      </c>
      <c r="G150">
        <v>5.34</v>
      </c>
      <c r="H150">
        <v>38.36</v>
      </c>
      <c r="I150">
        <v>37.479999999999997</v>
      </c>
      <c r="J150">
        <v>37.89</v>
      </c>
      <c r="K150">
        <f>SUM(H150:J150)/3</f>
        <v>37.910000000000004</v>
      </c>
      <c r="L150">
        <v>0</v>
      </c>
    </row>
    <row r="151" spans="1:12" x14ac:dyDescent="0.45">
      <c r="A151" t="s">
        <v>284</v>
      </c>
      <c r="B151">
        <v>0</v>
      </c>
      <c r="C151">
        <v>0</v>
      </c>
      <c r="D151">
        <v>1</v>
      </c>
      <c r="E151">
        <v>0</v>
      </c>
      <c r="F151">
        <v>19.8</v>
      </c>
      <c r="G151">
        <v>5.38</v>
      </c>
      <c r="H151" t="s">
        <v>9</v>
      </c>
      <c r="I151" t="s">
        <v>9</v>
      </c>
      <c r="J151" t="s">
        <v>9</v>
      </c>
      <c r="K151">
        <f>SUM(H151:J151)/3</f>
        <v>0</v>
      </c>
      <c r="L151">
        <v>0</v>
      </c>
    </row>
  </sheetData>
  <autoFilter ref="A1:K151" xr:uid="{73982AF6-D905-4EEB-8135-D80AA17CDDEA}">
    <sortState xmlns:xlrd2="http://schemas.microsoft.com/office/spreadsheetml/2017/richdata2" ref="A2:K151">
      <sortCondition ref="A2:A15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E7D61-2099-4C9C-B7CB-914038E632EA}">
  <dimension ref="A1:D151"/>
  <sheetViews>
    <sheetView topLeftCell="A2" workbookViewId="0">
      <selection activeCell="H12" sqref="H12"/>
    </sheetView>
  </sheetViews>
  <sheetFormatPr defaultRowHeight="14.25" x14ac:dyDescent="0.45"/>
  <sheetData>
    <row r="1" spans="1:4" x14ac:dyDescent="0.45">
      <c r="A1" t="s">
        <v>1259</v>
      </c>
      <c r="B1" t="s">
        <v>1260</v>
      </c>
      <c r="C1" t="s">
        <v>1261</v>
      </c>
      <c r="D1" t="s">
        <v>1268</v>
      </c>
    </row>
    <row r="2" spans="1:4" x14ac:dyDescent="0.45">
      <c r="A2">
        <v>35.78</v>
      </c>
      <c r="B2">
        <v>36.36</v>
      </c>
      <c r="C2">
        <v>35.07</v>
      </c>
      <c r="D2">
        <f>SUM(A2:C2)/3</f>
        <v>35.736666666666672</v>
      </c>
    </row>
    <row r="3" spans="1:4" x14ac:dyDescent="0.45">
      <c r="A3">
        <v>36.54</v>
      </c>
      <c r="B3">
        <v>35.82</v>
      </c>
      <c r="C3">
        <v>36.67</v>
      </c>
      <c r="D3">
        <f>SUM(A3:C3)/3</f>
        <v>36.343333333333334</v>
      </c>
    </row>
    <row r="4" spans="1:4" x14ac:dyDescent="0.45">
      <c r="A4" t="s">
        <v>1262</v>
      </c>
      <c r="B4" t="s">
        <v>1262</v>
      </c>
      <c r="C4" t="s">
        <v>1262</v>
      </c>
      <c r="D4">
        <v>0</v>
      </c>
    </row>
    <row r="5" spans="1:4" x14ac:dyDescent="0.45">
      <c r="A5" t="s">
        <v>9</v>
      </c>
      <c r="B5" t="s">
        <v>9</v>
      </c>
      <c r="C5">
        <v>39.18</v>
      </c>
      <c r="D5">
        <f>SUM(A5:C5)/1</f>
        <v>39.18</v>
      </c>
    </row>
    <row r="6" spans="1:4" x14ac:dyDescent="0.45">
      <c r="A6">
        <v>35.53</v>
      </c>
      <c r="B6">
        <v>37.700000000000003</v>
      </c>
      <c r="C6">
        <v>36.82</v>
      </c>
      <c r="D6">
        <f>SUM(A6:C6)/3</f>
        <v>36.683333333333337</v>
      </c>
    </row>
    <row r="7" spans="1:4" x14ac:dyDescent="0.45">
      <c r="A7" t="s">
        <v>1262</v>
      </c>
      <c r="B7" t="s">
        <v>1262</v>
      </c>
      <c r="C7">
        <v>38.44</v>
      </c>
      <c r="D7">
        <f>SUM(A7:C7)/1</f>
        <v>38.44</v>
      </c>
    </row>
    <row r="8" spans="1:4" x14ac:dyDescent="0.45">
      <c r="A8">
        <v>39.03</v>
      </c>
      <c r="B8" t="s">
        <v>1262</v>
      </c>
      <c r="C8">
        <v>39.22</v>
      </c>
      <c r="D8">
        <f>SUM(A8:C8)/2</f>
        <v>39.125</v>
      </c>
    </row>
    <row r="9" spans="1:4" x14ac:dyDescent="0.45">
      <c r="A9" t="s">
        <v>1262</v>
      </c>
      <c r="B9" t="s">
        <v>1262</v>
      </c>
      <c r="C9" t="s">
        <v>1262</v>
      </c>
      <c r="D9">
        <f t="shared" ref="D9:D15" si="0">SUM(A9:C9)/3</f>
        <v>0</v>
      </c>
    </row>
    <row r="10" spans="1:4" x14ac:dyDescent="0.45">
      <c r="A10">
        <v>35.1</v>
      </c>
      <c r="B10">
        <v>37.409999999999997</v>
      </c>
      <c r="C10">
        <v>36.72</v>
      </c>
      <c r="D10">
        <f t="shared" si="0"/>
        <v>36.409999999999997</v>
      </c>
    </row>
    <row r="11" spans="1:4" x14ac:dyDescent="0.45">
      <c r="A11">
        <v>36.36</v>
      </c>
      <c r="B11">
        <v>35.1</v>
      </c>
      <c r="C11">
        <v>35.299999999999997</v>
      </c>
      <c r="D11">
        <f t="shared" si="0"/>
        <v>35.586666666666666</v>
      </c>
    </row>
    <row r="12" spans="1:4" x14ac:dyDescent="0.45">
      <c r="A12">
        <v>35.869999999999997</v>
      </c>
      <c r="B12">
        <v>36.28</v>
      </c>
      <c r="C12">
        <v>38.08</v>
      </c>
      <c r="D12">
        <f t="shared" si="0"/>
        <v>36.743333333333332</v>
      </c>
    </row>
    <row r="13" spans="1:4" x14ac:dyDescent="0.45">
      <c r="A13">
        <v>36.71</v>
      </c>
      <c r="B13">
        <v>37.549999999999997</v>
      </c>
      <c r="C13">
        <v>35.6</v>
      </c>
      <c r="D13">
        <f t="shared" si="0"/>
        <v>36.619999999999997</v>
      </c>
    </row>
    <row r="14" spans="1:4" x14ac:dyDescent="0.45">
      <c r="A14">
        <v>36.22</v>
      </c>
      <c r="B14">
        <v>36.96</v>
      </c>
      <c r="C14">
        <v>37.369999999999997</v>
      </c>
      <c r="D14">
        <f t="shared" si="0"/>
        <v>36.85</v>
      </c>
    </row>
    <row r="15" spans="1:4" x14ac:dyDescent="0.45">
      <c r="A15">
        <v>35.67</v>
      </c>
      <c r="B15">
        <v>36.68</v>
      </c>
      <c r="C15">
        <v>35.67</v>
      </c>
      <c r="D15">
        <f t="shared" si="0"/>
        <v>36.006666666666668</v>
      </c>
    </row>
    <row r="16" spans="1:4" x14ac:dyDescent="0.45">
      <c r="A16">
        <v>37.19</v>
      </c>
      <c r="B16">
        <v>39.450000000000003</v>
      </c>
      <c r="C16" t="s">
        <v>1262</v>
      </c>
      <c r="D16">
        <f>SUM(A16:C16)/2</f>
        <v>38.32</v>
      </c>
    </row>
    <row r="17" spans="1:4" x14ac:dyDescent="0.45">
      <c r="A17">
        <v>35.82</v>
      </c>
      <c r="B17">
        <v>37.74</v>
      </c>
      <c r="C17">
        <v>36.96</v>
      </c>
      <c r="D17">
        <f>SUM(A17:C17)/3</f>
        <v>36.840000000000003</v>
      </c>
    </row>
    <row r="18" spans="1:4" x14ac:dyDescent="0.45">
      <c r="A18">
        <v>37.43</v>
      </c>
      <c r="B18">
        <v>37.92</v>
      </c>
      <c r="C18">
        <v>37.270000000000003</v>
      </c>
      <c r="D18">
        <f>SUM(A18:C18)/3</f>
        <v>37.54</v>
      </c>
    </row>
    <row r="19" spans="1:4" x14ac:dyDescent="0.45">
      <c r="A19" t="s">
        <v>9</v>
      </c>
      <c r="B19">
        <v>35.729999999999997</v>
      </c>
      <c r="C19">
        <v>35.96</v>
      </c>
      <c r="D19">
        <f>SUM(A19:C19)/2</f>
        <v>35.844999999999999</v>
      </c>
    </row>
    <row r="20" spans="1:4" x14ac:dyDescent="0.45">
      <c r="A20" t="s">
        <v>1262</v>
      </c>
      <c r="B20">
        <v>37.619999999999997</v>
      </c>
      <c r="C20">
        <v>38.64</v>
      </c>
      <c r="D20">
        <f>SUM(A20:C20)/2</f>
        <v>38.129999999999995</v>
      </c>
    </row>
    <row r="21" spans="1:4" x14ac:dyDescent="0.45">
      <c r="A21" t="s">
        <v>9</v>
      </c>
      <c r="B21" t="s">
        <v>9</v>
      </c>
      <c r="C21">
        <v>34.64</v>
      </c>
      <c r="D21">
        <f>SUM(A21:C21)/1</f>
        <v>34.64</v>
      </c>
    </row>
    <row r="22" spans="1:4" x14ac:dyDescent="0.45">
      <c r="A22">
        <v>37.51</v>
      </c>
      <c r="B22">
        <v>36.630000000000003</v>
      </c>
      <c r="C22">
        <v>36.369999999999997</v>
      </c>
      <c r="D22">
        <f>SUM(A22:C22)/3</f>
        <v>36.836666666666666</v>
      </c>
    </row>
    <row r="23" spans="1:4" x14ac:dyDescent="0.45">
      <c r="A23">
        <v>36.61</v>
      </c>
      <c r="B23">
        <v>36.25</v>
      </c>
      <c r="C23">
        <v>35.409999999999997</v>
      </c>
      <c r="D23">
        <f>SUM(A23:C23)/3</f>
        <v>36.089999999999996</v>
      </c>
    </row>
    <row r="24" spans="1:4" x14ac:dyDescent="0.45">
      <c r="A24">
        <v>36.94</v>
      </c>
      <c r="B24">
        <v>37.76</v>
      </c>
      <c r="C24">
        <v>36.42</v>
      </c>
      <c r="D24">
        <f>SUM(A24:C24)/3</f>
        <v>37.04</v>
      </c>
    </row>
    <row r="25" spans="1:4" x14ac:dyDescent="0.45">
      <c r="A25">
        <v>37.21</v>
      </c>
      <c r="B25">
        <v>37.020000000000003</v>
      </c>
      <c r="C25">
        <v>37.92</v>
      </c>
      <c r="D25">
        <f>SUM(A25:C25)/3</f>
        <v>37.383333333333333</v>
      </c>
    </row>
    <row r="26" spans="1:4" x14ac:dyDescent="0.45">
      <c r="A26" t="s">
        <v>1262</v>
      </c>
      <c r="B26" t="s">
        <v>1262</v>
      </c>
      <c r="C26">
        <v>37.619999999999997</v>
      </c>
      <c r="D26">
        <f>SUM(A26:C26)/1</f>
        <v>37.619999999999997</v>
      </c>
    </row>
    <row r="27" spans="1:4" x14ac:dyDescent="0.45">
      <c r="A27">
        <v>38.71</v>
      </c>
      <c r="B27">
        <v>38.380000000000003</v>
      </c>
      <c r="C27" t="s">
        <v>1262</v>
      </c>
      <c r="D27">
        <f>SUM(A27:C27)/2</f>
        <v>38.545000000000002</v>
      </c>
    </row>
    <row r="28" spans="1:4" x14ac:dyDescent="0.45">
      <c r="A28" t="s">
        <v>1262</v>
      </c>
      <c r="B28" t="s">
        <v>1262</v>
      </c>
      <c r="C28" t="s">
        <v>1262</v>
      </c>
      <c r="D28">
        <f>SUM(A28:C28)/3</f>
        <v>0</v>
      </c>
    </row>
    <row r="29" spans="1:4" x14ac:dyDescent="0.45">
      <c r="A29">
        <v>34.799999999999997</v>
      </c>
      <c r="B29">
        <v>36.07</v>
      </c>
      <c r="C29">
        <v>36.619999999999997</v>
      </c>
      <c r="D29">
        <f>SUM(A29:C29)/3</f>
        <v>35.830000000000005</v>
      </c>
    </row>
    <row r="30" spans="1:4" x14ac:dyDescent="0.45">
      <c r="A30">
        <v>37.049999999999997</v>
      </c>
      <c r="B30">
        <v>37.159999999999997</v>
      </c>
      <c r="C30">
        <v>38.03</v>
      </c>
      <c r="D30">
        <f>SUM(A30:C30)/3</f>
        <v>37.413333333333334</v>
      </c>
    </row>
    <row r="31" spans="1:4" x14ac:dyDescent="0.45">
      <c r="A31" t="s">
        <v>1262</v>
      </c>
      <c r="B31">
        <v>39.44</v>
      </c>
      <c r="C31" t="s">
        <v>1262</v>
      </c>
      <c r="D31">
        <f>SUM(A31:C31)/1</f>
        <v>39.44</v>
      </c>
    </row>
    <row r="32" spans="1:4" x14ac:dyDescent="0.45">
      <c r="A32">
        <v>36.6</v>
      </c>
      <c r="B32">
        <v>37.04</v>
      </c>
      <c r="C32">
        <v>38.18</v>
      </c>
      <c r="D32">
        <f>SUM(A32:C32)/3</f>
        <v>37.273333333333333</v>
      </c>
    </row>
    <row r="33" spans="1:4" x14ac:dyDescent="0.45">
      <c r="A33">
        <v>37.630000000000003</v>
      </c>
      <c r="B33">
        <v>37.39</v>
      </c>
      <c r="C33" t="s">
        <v>1262</v>
      </c>
      <c r="D33">
        <f>SUM(A33:C33)/2</f>
        <v>37.510000000000005</v>
      </c>
    </row>
    <row r="34" spans="1:4" x14ac:dyDescent="0.45">
      <c r="A34">
        <v>37.119999999999997</v>
      </c>
      <c r="B34">
        <v>37.49</v>
      </c>
      <c r="C34">
        <v>36.28</v>
      </c>
      <c r="D34">
        <f>SUM(A34:C34)/3</f>
        <v>36.963333333333331</v>
      </c>
    </row>
    <row r="35" spans="1:4" x14ac:dyDescent="0.45">
      <c r="A35">
        <v>37.36</v>
      </c>
      <c r="B35">
        <v>36.69</v>
      </c>
      <c r="C35" t="s">
        <v>9</v>
      </c>
      <c r="D35">
        <f>SUM(A35:C35)/2</f>
        <v>37.024999999999999</v>
      </c>
    </row>
    <row r="36" spans="1:4" x14ac:dyDescent="0.45">
      <c r="A36" t="s">
        <v>9</v>
      </c>
      <c r="B36">
        <v>36.119999999999997</v>
      </c>
      <c r="C36" t="s">
        <v>9</v>
      </c>
      <c r="D36">
        <f>SUM(A36:C36)/1</f>
        <v>36.119999999999997</v>
      </c>
    </row>
    <row r="37" spans="1:4" x14ac:dyDescent="0.45">
      <c r="A37">
        <v>35.81</v>
      </c>
      <c r="B37" t="s">
        <v>9</v>
      </c>
      <c r="C37">
        <v>34.75</v>
      </c>
      <c r="D37">
        <f>SUM(A37:C37)/2</f>
        <v>35.28</v>
      </c>
    </row>
    <row r="38" spans="1:4" x14ac:dyDescent="0.45">
      <c r="A38" t="s">
        <v>9</v>
      </c>
      <c r="B38" t="s">
        <v>9</v>
      </c>
      <c r="C38" t="s">
        <v>9</v>
      </c>
      <c r="D38">
        <f>SUM(A38:C38)/3</f>
        <v>0</v>
      </c>
    </row>
    <row r="39" spans="1:4" x14ac:dyDescent="0.45">
      <c r="A39">
        <v>37.03</v>
      </c>
      <c r="B39">
        <v>38.369999999999997</v>
      </c>
      <c r="C39">
        <v>37.08</v>
      </c>
      <c r="D39">
        <f>SUM(A39:C39)/3</f>
        <v>37.493333333333332</v>
      </c>
    </row>
    <row r="40" spans="1:4" x14ac:dyDescent="0.45">
      <c r="A40" t="s">
        <v>1262</v>
      </c>
      <c r="B40" t="s">
        <v>1262</v>
      </c>
      <c r="C40">
        <v>37.57</v>
      </c>
      <c r="D40">
        <f>SUM(A40:C40)/1</f>
        <v>37.57</v>
      </c>
    </row>
    <row r="41" spans="1:4" x14ac:dyDescent="0.45">
      <c r="A41">
        <v>38.44</v>
      </c>
      <c r="B41" t="s">
        <v>9</v>
      </c>
      <c r="C41" t="s">
        <v>9</v>
      </c>
      <c r="D41">
        <f>SUM(A41:C41)/1</f>
        <v>38.44</v>
      </c>
    </row>
    <row r="42" spans="1:4" x14ac:dyDescent="0.45">
      <c r="A42" t="s">
        <v>9</v>
      </c>
      <c r="B42" t="s">
        <v>9</v>
      </c>
      <c r="C42" t="s">
        <v>9</v>
      </c>
      <c r="D42">
        <f>SUM(A42:C42)/3</f>
        <v>0</v>
      </c>
    </row>
    <row r="43" spans="1:4" x14ac:dyDescent="0.45">
      <c r="A43">
        <v>37.39</v>
      </c>
      <c r="B43" t="s">
        <v>9</v>
      </c>
      <c r="C43" t="s">
        <v>9</v>
      </c>
      <c r="D43">
        <f>SUM(A43:C43)/1</f>
        <v>37.39</v>
      </c>
    </row>
    <row r="44" spans="1:4" x14ac:dyDescent="0.45">
      <c r="A44" t="s">
        <v>9</v>
      </c>
      <c r="B44" t="s">
        <v>9</v>
      </c>
      <c r="C44" t="s">
        <v>9</v>
      </c>
      <c r="D44">
        <f>SUM(A44:C44)/3</f>
        <v>0</v>
      </c>
    </row>
    <row r="45" spans="1:4" x14ac:dyDescent="0.45">
      <c r="A45">
        <v>37.799999999999997</v>
      </c>
      <c r="B45" t="s">
        <v>9</v>
      </c>
      <c r="C45" t="s">
        <v>9</v>
      </c>
      <c r="D45">
        <f>SUM(A45:C45)/1</f>
        <v>37.799999999999997</v>
      </c>
    </row>
    <row r="46" spans="1:4" x14ac:dyDescent="0.45">
      <c r="A46">
        <v>37.380000000000003</v>
      </c>
      <c r="B46">
        <v>37.79</v>
      </c>
      <c r="C46" t="s">
        <v>9</v>
      </c>
      <c r="D46">
        <f>SUM(A46:C46)/2</f>
        <v>37.585000000000001</v>
      </c>
    </row>
    <row r="47" spans="1:4" x14ac:dyDescent="0.45">
      <c r="A47" t="s">
        <v>9</v>
      </c>
      <c r="B47" t="s">
        <v>9</v>
      </c>
      <c r="C47">
        <v>39.44</v>
      </c>
      <c r="D47">
        <f>SUM(A47:C47)/1</f>
        <v>39.44</v>
      </c>
    </row>
    <row r="48" spans="1:4" x14ac:dyDescent="0.45">
      <c r="A48" t="s">
        <v>9</v>
      </c>
      <c r="B48" t="s">
        <v>9</v>
      </c>
      <c r="C48">
        <v>38.76</v>
      </c>
      <c r="D48">
        <f>SUM(A48:C48)/1</f>
        <v>38.76</v>
      </c>
    </row>
    <row r="49" spans="1:4" x14ac:dyDescent="0.45">
      <c r="A49">
        <v>37.17</v>
      </c>
      <c r="B49">
        <v>36.65</v>
      </c>
      <c r="C49">
        <v>37.270000000000003</v>
      </c>
      <c r="D49">
        <f>SUM(A49:C49)/3</f>
        <v>37.03</v>
      </c>
    </row>
    <row r="50" spans="1:4" x14ac:dyDescent="0.45">
      <c r="A50">
        <v>36.39</v>
      </c>
      <c r="B50">
        <v>36.44</v>
      </c>
      <c r="C50">
        <v>37.89</v>
      </c>
      <c r="D50">
        <f>SUM(A50:C50)/3</f>
        <v>36.906666666666666</v>
      </c>
    </row>
    <row r="51" spans="1:4" x14ac:dyDescent="0.45">
      <c r="A51">
        <v>31.86</v>
      </c>
      <c r="B51">
        <v>32.22</v>
      </c>
      <c r="C51">
        <v>31.12</v>
      </c>
      <c r="D51">
        <f>SUM(A51:C51)/3</f>
        <v>31.733333333333334</v>
      </c>
    </row>
    <row r="52" spans="1:4" x14ac:dyDescent="0.45">
      <c r="A52" t="s">
        <v>9</v>
      </c>
      <c r="B52" t="s">
        <v>9</v>
      </c>
      <c r="C52">
        <v>37.659999999999997</v>
      </c>
      <c r="D52">
        <f>SUM(A52:C52)/1</f>
        <v>37.659999999999997</v>
      </c>
    </row>
    <row r="53" spans="1:4" x14ac:dyDescent="0.45">
      <c r="A53" t="s">
        <v>9</v>
      </c>
      <c r="B53" t="s">
        <v>9</v>
      </c>
      <c r="C53" t="s">
        <v>9</v>
      </c>
      <c r="D53">
        <f>SUM(A53:C53)/3</f>
        <v>0</v>
      </c>
    </row>
    <row r="54" spans="1:4" x14ac:dyDescent="0.45">
      <c r="A54" t="s">
        <v>9</v>
      </c>
      <c r="B54">
        <v>39.07</v>
      </c>
      <c r="C54">
        <v>37.11</v>
      </c>
      <c r="D54">
        <f>SUM(A54:C54)/2</f>
        <v>38.090000000000003</v>
      </c>
    </row>
    <row r="55" spans="1:4" x14ac:dyDescent="0.45">
      <c r="A55" t="s">
        <v>9</v>
      </c>
      <c r="B55" t="s">
        <v>9</v>
      </c>
      <c r="C55" t="s">
        <v>9</v>
      </c>
      <c r="D55">
        <f>SUM(A55:C55)/3</f>
        <v>0</v>
      </c>
    </row>
    <row r="56" spans="1:4" x14ac:dyDescent="0.45">
      <c r="A56">
        <v>36.049999999999997</v>
      </c>
      <c r="B56">
        <v>38.71</v>
      </c>
      <c r="C56">
        <v>38.46</v>
      </c>
      <c r="D56">
        <f>SUM(A56:C56)/3</f>
        <v>37.74</v>
      </c>
    </row>
    <row r="57" spans="1:4" x14ac:dyDescent="0.45">
      <c r="A57">
        <v>38.17</v>
      </c>
      <c r="B57" t="s">
        <v>9</v>
      </c>
      <c r="C57">
        <v>37.409999999999997</v>
      </c>
      <c r="D57">
        <f>SUM(A57:C57)/2</f>
        <v>37.79</v>
      </c>
    </row>
    <row r="58" spans="1:4" x14ac:dyDescent="0.45">
      <c r="A58" t="s">
        <v>9</v>
      </c>
      <c r="B58" t="s">
        <v>9</v>
      </c>
      <c r="C58" t="s">
        <v>9</v>
      </c>
      <c r="D58">
        <f>SUM(A58:C58)/3</f>
        <v>0</v>
      </c>
    </row>
    <row r="59" spans="1:4" x14ac:dyDescent="0.45">
      <c r="A59" t="s">
        <v>9</v>
      </c>
      <c r="B59">
        <v>37.61</v>
      </c>
      <c r="C59" t="s">
        <v>9</v>
      </c>
      <c r="D59">
        <f>SUM(A59:C59)/1</f>
        <v>37.61</v>
      </c>
    </row>
    <row r="60" spans="1:4" x14ac:dyDescent="0.45">
      <c r="A60" t="s">
        <v>9</v>
      </c>
      <c r="B60" t="s">
        <v>9</v>
      </c>
      <c r="C60" t="s">
        <v>9</v>
      </c>
      <c r="D60">
        <f>SUM(A60:C60)/3</f>
        <v>0</v>
      </c>
    </row>
    <row r="61" spans="1:4" x14ac:dyDescent="0.45">
      <c r="A61">
        <v>39.33</v>
      </c>
      <c r="B61">
        <v>37.4</v>
      </c>
      <c r="C61" t="s">
        <v>9</v>
      </c>
      <c r="D61">
        <f>SUM(A61:C61)/2</f>
        <v>38.364999999999995</v>
      </c>
    </row>
    <row r="62" spans="1:4" x14ac:dyDescent="0.45">
      <c r="A62" t="s">
        <v>9</v>
      </c>
      <c r="B62" t="s">
        <v>9</v>
      </c>
      <c r="C62" t="s">
        <v>9</v>
      </c>
      <c r="D62">
        <f>SUM(A62:C62)/3</f>
        <v>0</v>
      </c>
    </row>
    <row r="63" spans="1:4" x14ac:dyDescent="0.45">
      <c r="A63" t="s">
        <v>9</v>
      </c>
      <c r="B63" t="s">
        <v>9</v>
      </c>
      <c r="C63" t="s">
        <v>9</v>
      </c>
      <c r="D63">
        <f>SUM(A63:C63)/3</f>
        <v>0</v>
      </c>
    </row>
    <row r="64" spans="1:4" x14ac:dyDescent="0.45">
      <c r="A64">
        <v>39.97</v>
      </c>
      <c r="B64" t="s">
        <v>9</v>
      </c>
      <c r="C64">
        <v>37.26</v>
      </c>
      <c r="D64">
        <f>SUM(A64:C64)/2</f>
        <v>38.614999999999995</v>
      </c>
    </row>
    <row r="65" spans="1:4" x14ac:dyDescent="0.45">
      <c r="A65">
        <v>36.950000000000003</v>
      </c>
      <c r="B65">
        <v>36.450000000000003</v>
      </c>
      <c r="C65" t="s">
        <v>9</v>
      </c>
      <c r="D65">
        <f>SUM(A65:C65)/2</f>
        <v>36.700000000000003</v>
      </c>
    </row>
    <row r="66" spans="1:4" x14ac:dyDescent="0.45">
      <c r="A66">
        <v>37.700000000000003</v>
      </c>
      <c r="B66" t="s">
        <v>9</v>
      </c>
      <c r="C66" t="s">
        <v>9</v>
      </c>
      <c r="D66">
        <f>SUM(A66:C66)/1</f>
        <v>37.700000000000003</v>
      </c>
    </row>
    <row r="67" spans="1:4" x14ac:dyDescent="0.45">
      <c r="A67" t="s">
        <v>9</v>
      </c>
      <c r="B67" t="s">
        <v>9</v>
      </c>
      <c r="C67" t="s">
        <v>9</v>
      </c>
      <c r="D67">
        <f>SUM(A67:C67)/3</f>
        <v>0</v>
      </c>
    </row>
    <row r="68" spans="1:4" x14ac:dyDescent="0.45">
      <c r="A68">
        <v>36.14</v>
      </c>
      <c r="B68">
        <v>37.07</v>
      </c>
      <c r="C68">
        <v>37.549999999999997</v>
      </c>
      <c r="D68">
        <f>SUM(A68:C68)/3</f>
        <v>36.92</v>
      </c>
    </row>
    <row r="69" spans="1:4" x14ac:dyDescent="0.45">
      <c r="A69" t="s">
        <v>9</v>
      </c>
      <c r="B69" t="s">
        <v>9</v>
      </c>
      <c r="C69">
        <v>38.72</v>
      </c>
      <c r="D69">
        <f>SUM(A69:C69)/1</f>
        <v>38.72</v>
      </c>
    </row>
    <row r="70" spans="1:4" x14ac:dyDescent="0.45">
      <c r="A70" t="s">
        <v>9</v>
      </c>
      <c r="B70" t="s">
        <v>9</v>
      </c>
      <c r="C70" t="s">
        <v>9</v>
      </c>
      <c r="D70">
        <f>SUM(A70:C70)/3</f>
        <v>0</v>
      </c>
    </row>
    <row r="71" spans="1:4" x14ac:dyDescent="0.45">
      <c r="A71" t="s">
        <v>9</v>
      </c>
      <c r="B71" t="s">
        <v>9</v>
      </c>
      <c r="C71" t="s">
        <v>9</v>
      </c>
      <c r="D71">
        <f>SUM(A71:C71)/3</f>
        <v>0</v>
      </c>
    </row>
    <row r="72" spans="1:4" x14ac:dyDescent="0.45">
      <c r="A72" t="s">
        <v>9</v>
      </c>
      <c r="B72">
        <v>38.89</v>
      </c>
      <c r="C72" t="s">
        <v>9</v>
      </c>
      <c r="D72">
        <f>SUM(A72:C72)/1</f>
        <v>38.89</v>
      </c>
    </row>
    <row r="73" spans="1:4" x14ac:dyDescent="0.45">
      <c r="A73" t="s">
        <v>9</v>
      </c>
      <c r="B73" t="s">
        <v>9</v>
      </c>
      <c r="C73" t="s">
        <v>9</v>
      </c>
      <c r="D73">
        <f>SUM(A73:C73)/3</f>
        <v>0</v>
      </c>
    </row>
    <row r="74" spans="1:4" x14ac:dyDescent="0.45">
      <c r="A74" t="s">
        <v>9</v>
      </c>
      <c r="B74" t="s">
        <v>9</v>
      </c>
      <c r="C74" t="s">
        <v>9</v>
      </c>
      <c r="D74">
        <f>SUM(A74:C74)/3</f>
        <v>0</v>
      </c>
    </row>
    <row r="75" spans="1:4" x14ac:dyDescent="0.45">
      <c r="A75" t="s">
        <v>9</v>
      </c>
      <c r="B75">
        <v>37.76</v>
      </c>
      <c r="C75" t="s">
        <v>9</v>
      </c>
      <c r="D75">
        <f>SUM(A75:C75)/1</f>
        <v>37.76</v>
      </c>
    </row>
    <row r="76" spans="1:4" x14ac:dyDescent="0.45">
      <c r="A76">
        <v>39.25</v>
      </c>
      <c r="B76" t="s">
        <v>9</v>
      </c>
      <c r="C76">
        <v>38.18</v>
      </c>
      <c r="D76">
        <f>SUM(A76:C76)/2</f>
        <v>38.715000000000003</v>
      </c>
    </row>
    <row r="77" spans="1:4" x14ac:dyDescent="0.45">
      <c r="A77" t="s">
        <v>9</v>
      </c>
      <c r="B77" t="s">
        <v>9</v>
      </c>
      <c r="C77" t="s">
        <v>9</v>
      </c>
      <c r="D77">
        <f>SUM(A77:C77)/3</f>
        <v>0</v>
      </c>
    </row>
    <row r="78" spans="1:4" x14ac:dyDescent="0.45">
      <c r="A78" t="s">
        <v>9</v>
      </c>
      <c r="B78">
        <v>37.68</v>
      </c>
      <c r="C78">
        <v>38.67</v>
      </c>
      <c r="D78">
        <f>SUM(A78:C78)/2</f>
        <v>38.174999999999997</v>
      </c>
    </row>
    <row r="79" spans="1:4" x14ac:dyDescent="0.45">
      <c r="A79" t="s">
        <v>9</v>
      </c>
      <c r="B79" t="s">
        <v>9</v>
      </c>
      <c r="C79" t="s">
        <v>9</v>
      </c>
      <c r="D79">
        <f>SUM(A79:C79)/3</f>
        <v>0</v>
      </c>
    </row>
    <row r="80" spans="1:4" x14ac:dyDescent="0.45">
      <c r="A80">
        <v>38.53</v>
      </c>
      <c r="B80" t="s">
        <v>9</v>
      </c>
      <c r="C80" t="s">
        <v>9</v>
      </c>
      <c r="D80">
        <f>SUM(A80:C80)/1</f>
        <v>38.53</v>
      </c>
    </row>
    <row r="81" spans="1:4" x14ac:dyDescent="0.45">
      <c r="A81">
        <v>37.31</v>
      </c>
      <c r="B81">
        <v>36.79</v>
      </c>
      <c r="C81">
        <v>39.590000000000003</v>
      </c>
      <c r="D81">
        <f t="shared" ref="D81:D90" si="1">SUM(A81:C81)/3</f>
        <v>37.896666666666668</v>
      </c>
    </row>
    <row r="82" spans="1:4" x14ac:dyDescent="0.45">
      <c r="A82" t="s">
        <v>9</v>
      </c>
      <c r="B82" t="s">
        <v>9</v>
      </c>
      <c r="C82" t="s">
        <v>9</v>
      </c>
      <c r="D82">
        <f t="shared" si="1"/>
        <v>0</v>
      </c>
    </row>
    <row r="83" spans="1:4" x14ac:dyDescent="0.45">
      <c r="A83">
        <v>37.56</v>
      </c>
      <c r="B83">
        <v>36.15</v>
      </c>
      <c r="C83">
        <v>37.590000000000003</v>
      </c>
      <c r="D83">
        <f t="shared" si="1"/>
        <v>37.1</v>
      </c>
    </row>
    <row r="84" spans="1:4" x14ac:dyDescent="0.45">
      <c r="A84" t="s">
        <v>9</v>
      </c>
      <c r="B84" t="s">
        <v>9</v>
      </c>
      <c r="C84" t="s">
        <v>9</v>
      </c>
      <c r="D84">
        <f t="shared" si="1"/>
        <v>0</v>
      </c>
    </row>
    <row r="85" spans="1:4" x14ac:dyDescent="0.45">
      <c r="A85" t="s">
        <v>9</v>
      </c>
      <c r="B85" t="s">
        <v>9</v>
      </c>
      <c r="C85" t="s">
        <v>9</v>
      </c>
      <c r="D85">
        <f t="shared" si="1"/>
        <v>0</v>
      </c>
    </row>
    <row r="86" spans="1:4" x14ac:dyDescent="0.45">
      <c r="A86" t="s">
        <v>9</v>
      </c>
      <c r="B86" t="s">
        <v>9</v>
      </c>
      <c r="C86" t="s">
        <v>9</v>
      </c>
      <c r="D86">
        <f t="shared" si="1"/>
        <v>0</v>
      </c>
    </row>
    <row r="87" spans="1:4" x14ac:dyDescent="0.45">
      <c r="A87">
        <v>37.340000000000003</v>
      </c>
      <c r="B87">
        <v>37.35</v>
      </c>
      <c r="C87">
        <v>38.39</v>
      </c>
      <c r="D87">
        <f t="shared" si="1"/>
        <v>37.693333333333335</v>
      </c>
    </row>
    <row r="88" spans="1:4" x14ac:dyDescent="0.45">
      <c r="A88" t="s">
        <v>9</v>
      </c>
      <c r="B88" t="s">
        <v>9</v>
      </c>
      <c r="C88" t="s">
        <v>9</v>
      </c>
      <c r="D88">
        <f t="shared" si="1"/>
        <v>0</v>
      </c>
    </row>
    <row r="89" spans="1:4" x14ac:dyDescent="0.45">
      <c r="A89">
        <v>38.770000000000003</v>
      </c>
      <c r="B89">
        <v>38.229999999999997</v>
      </c>
      <c r="C89">
        <v>37.4</v>
      </c>
      <c r="D89">
        <f t="shared" si="1"/>
        <v>38.133333333333333</v>
      </c>
    </row>
    <row r="90" spans="1:4" x14ac:dyDescent="0.45">
      <c r="A90" t="s">
        <v>9</v>
      </c>
      <c r="B90" t="s">
        <v>9</v>
      </c>
      <c r="C90" t="s">
        <v>9</v>
      </c>
      <c r="D90">
        <f t="shared" si="1"/>
        <v>0</v>
      </c>
    </row>
    <row r="91" spans="1:4" x14ac:dyDescent="0.45">
      <c r="A91">
        <v>39.53</v>
      </c>
      <c r="B91" t="s">
        <v>9</v>
      </c>
      <c r="C91">
        <v>37.99</v>
      </c>
      <c r="D91">
        <f>SUM(A91:C91)/2</f>
        <v>38.760000000000005</v>
      </c>
    </row>
    <row r="92" spans="1:4" x14ac:dyDescent="0.45">
      <c r="A92" t="s">
        <v>9</v>
      </c>
      <c r="B92" t="s">
        <v>9</v>
      </c>
      <c r="C92" t="s">
        <v>9</v>
      </c>
      <c r="D92">
        <f>SUM(A92:C92)/3</f>
        <v>0</v>
      </c>
    </row>
    <row r="93" spans="1:4" x14ac:dyDescent="0.45">
      <c r="A93">
        <v>36.92</v>
      </c>
      <c r="B93">
        <v>35.85</v>
      </c>
      <c r="C93">
        <v>39.54</v>
      </c>
      <c r="D93">
        <f>SUM(A93:C93)/3</f>
        <v>37.436666666666667</v>
      </c>
    </row>
    <row r="94" spans="1:4" x14ac:dyDescent="0.45">
      <c r="A94" t="s">
        <v>9</v>
      </c>
      <c r="B94">
        <v>37.450000000000003</v>
      </c>
      <c r="C94">
        <v>37.119999999999997</v>
      </c>
      <c r="D94">
        <f>SUM(A94:C94)/2</f>
        <v>37.284999999999997</v>
      </c>
    </row>
    <row r="95" spans="1:4" x14ac:dyDescent="0.45">
      <c r="A95">
        <v>38.869999999999997</v>
      </c>
      <c r="B95">
        <v>37.43</v>
      </c>
      <c r="C95">
        <v>36.74</v>
      </c>
      <c r="D95">
        <f>SUM(A95:C95)/3</f>
        <v>37.68</v>
      </c>
    </row>
    <row r="96" spans="1:4" x14ac:dyDescent="0.45">
      <c r="A96">
        <v>37.14</v>
      </c>
      <c r="B96" t="s">
        <v>9</v>
      </c>
      <c r="C96" t="s">
        <v>9</v>
      </c>
      <c r="D96">
        <f>SUM(A96:C96)/1</f>
        <v>37.14</v>
      </c>
    </row>
    <row r="97" spans="1:4" x14ac:dyDescent="0.45">
      <c r="A97">
        <v>37.380000000000003</v>
      </c>
      <c r="B97" t="s">
        <v>9</v>
      </c>
      <c r="C97">
        <v>36.4</v>
      </c>
      <c r="D97">
        <f>SUM(A97:C97)/2</f>
        <v>36.89</v>
      </c>
    </row>
    <row r="98" spans="1:4" x14ac:dyDescent="0.45">
      <c r="A98" t="s">
        <v>9</v>
      </c>
      <c r="B98" t="s">
        <v>9</v>
      </c>
      <c r="C98" t="s">
        <v>9</v>
      </c>
      <c r="D98">
        <f>SUM(A98:C98)/3</f>
        <v>0</v>
      </c>
    </row>
    <row r="99" spans="1:4" x14ac:dyDescent="0.45">
      <c r="A99" t="s">
        <v>9</v>
      </c>
      <c r="B99">
        <v>38.299999999999997</v>
      </c>
      <c r="C99">
        <v>36.43</v>
      </c>
      <c r="D99">
        <f>SUM(A99:C99)/2</f>
        <v>37.364999999999995</v>
      </c>
    </row>
    <row r="100" spans="1:4" x14ac:dyDescent="0.45">
      <c r="A100">
        <v>39.82</v>
      </c>
      <c r="B100">
        <v>39.340000000000003</v>
      </c>
      <c r="C100" t="s">
        <v>9</v>
      </c>
      <c r="D100">
        <f>SUM(A100:C100)/2</f>
        <v>39.58</v>
      </c>
    </row>
    <row r="101" spans="1:4" x14ac:dyDescent="0.45">
      <c r="A101" t="s">
        <v>9</v>
      </c>
      <c r="B101">
        <v>35.92</v>
      </c>
      <c r="C101">
        <v>37.130000000000003</v>
      </c>
      <c r="D101">
        <f>SUM(A101:C101)/2</f>
        <v>36.525000000000006</v>
      </c>
    </row>
    <row r="102" spans="1:4" x14ac:dyDescent="0.45">
      <c r="A102">
        <v>39.090000000000003</v>
      </c>
      <c r="B102" t="s">
        <v>9</v>
      </c>
      <c r="C102" t="s">
        <v>9</v>
      </c>
      <c r="D102">
        <f>SUM(A102:C102)/1</f>
        <v>39.090000000000003</v>
      </c>
    </row>
    <row r="103" spans="1:4" x14ac:dyDescent="0.45">
      <c r="A103">
        <v>37.94</v>
      </c>
      <c r="B103">
        <v>37.700000000000003</v>
      </c>
      <c r="C103">
        <v>37.76</v>
      </c>
      <c r="D103">
        <f>SUM(A103:C103)/3</f>
        <v>37.800000000000004</v>
      </c>
    </row>
    <row r="104" spans="1:4" x14ac:dyDescent="0.45">
      <c r="A104" t="s">
        <v>9</v>
      </c>
      <c r="B104">
        <v>36.82</v>
      </c>
      <c r="C104" t="s">
        <v>9</v>
      </c>
      <c r="D104">
        <f>SUM(A104:C104)/1</f>
        <v>36.82</v>
      </c>
    </row>
    <row r="105" spans="1:4" x14ac:dyDescent="0.45">
      <c r="A105">
        <v>31.3</v>
      </c>
      <c r="B105" t="s">
        <v>9</v>
      </c>
      <c r="C105" t="s">
        <v>9</v>
      </c>
      <c r="D105">
        <f>SUM(A105:C105)/1</f>
        <v>31.3</v>
      </c>
    </row>
    <row r="106" spans="1:4" x14ac:dyDescent="0.45">
      <c r="A106" t="s">
        <v>9</v>
      </c>
      <c r="B106" t="s">
        <v>9</v>
      </c>
      <c r="C106">
        <v>37.909999999999997</v>
      </c>
      <c r="D106">
        <f>SUM(A106:C106)/1</f>
        <v>37.909999999999997</v>
      </c>
    </row>
    <row r="107" spans="1:4" x14ac:dyDescent="0.45">
      <c r="A107" t="s">
        <v>9</v>
      </c>
      <c r="B107">
        <v>36.57</v>
      </c>
      <c r="C107">
        <v>37.85</v>
      </c>
      <c r="D107">
        <f>SUM(A107:C107)/2</f>
        <v>37.21</v>
      </c>
    </row>
    <row r="108" spans="1:4" x14ac:dyDescent="0.45">
      <c r="A108" t="s">
        <v>9</v>
      </c>
      <c r="B108">
        <v>36.450000000000003</v>
      </c>
      <c r="C108">
        <v>37.5</v>
      </c>
      <c r="D108">
        <f>SUM(A108:C108)/2</f>
        <v>36.975000000000001</v>
      </c>
    </row>
    <row r="109" spans="1:4" x14ac:dyDescent="0.45">
      <c r="A109" t="s">
        <v>9</v>
      </c>
      <c r="B109" t="s">
        <v>9</v>
      </c>
      <c r="C109">
        <v>38.76</v>
      </c>
      <c r="D109">
        <f>SUM(A109:C109)/1</f>
        <v>38.76</v>
      </c>
    </row>
    <row r="110" spans="1:4" x14ac:dyDescent="0.45">
      <c r="A110" t="s">
        <v>9</v>
      </c>
      <c r="B110" t="s">
        <v>9</v>
      </c>
      <c r="C110" t="s">
        <v>9</v>
      </c>
      <c r="D110">
        <f>SUM(A110:C110)/3</f>
        <v>0</v>
      </c>
    </row>
    <row r="111" spans="1:4" x14ac:dyDescent="0.45">
      <c r="A111" t="s">
        <v>9</v>
      </c>
      <c r="B111" t="s">
        <v>9</v>
      </c>
      <c r="C111" t="s">
        <v>9</v>
      </c>
      <c r="D111">
        <f>SUM(A111:C111)/3</f>
        <v>0</v>
      </c>
    </row>
    <row r="112" spans="1:4" x14ac:dyDescent="0.45">
      <c r="A112" t="s">
        <v>9</v>
      </c>
      <c r="B112">
        <v>36.69</v>
      </c>
      <c r="C112">
        <v>36.54</v>
      </c>
      <c r="D112">
        <f>SUM(A112:C112)/2</f>
        <v>36.614999999999995</v>
      </c>
    </row>
    <row r="113" spans="1:4" x14ac:dyDescent="0.45">
      <c r="A113" t="s">
        <v>9</v>
      </c>
      <c r="B113">
        <v>36.659999999999997</v>
      </c>
      <c r="C113">
        <v>39.49</v>
      </c>
      <c r="D113">
        <f>SUM(A113:C113)/2</f>
        <v>38.075000000000003</v>
      </c>
    </row>
    <row r="114" spans="1:4" x14ac:dyDescent="0.45">
      <c r="A114" t="s">
        <v>9</v>
      </c>
      <c r="B114" t="s">
        <v>9</v>
      </c>
      <c r="C114">
        <v>37.729999999999997</v>
      </c>
      <c r="D114">
        <f>SUM(A114:C114)/1</f>
        <v>37.729999999999997</v>
      </c>
    </row>
    <row r="115" spans="1:4" x14ac:dyDescent="0.45">
      <c r="A115">
        <v>37.6</v>
      </c>
      <c r="B115">
        <v>37.94</v>
      </c>
      <c r="C115" t="s">
        <v>9</v>
      </c>
      <c r="D115">
        <f>SUM(A115:C115)/2</f>
        <v>37.769999999999996</v>
      </c>
    </row>
    <row r="116" spans="1:4" x14ac:dyDescent="0.45">
      <c r="A116" t="s">
        <v>9</v>
      </c>
      <c r="B116" t="s">
        <v>9</v>
      </c>
      <c r="C116" t="s">
        <v>9</v>
      </c>
      <c r="D116">
        <f>SUM(A116:C116)/3</f>
        <v>0</v>
      </c>
    </row>
    <row r="117" spans="1:4" x14ac:dyDescent="0.45">
      <c r="A117">
        <v>37.35</v>
      </c>
      <c r="B117">
        <v>39.79</v>
      </c>
      <c r="C117" t="s">
        <v>9</v>
      </c>
      <c r="D117">
        <f>SUM(A117:C117)/2</f>
        <v>38.57</v>
      </c>
    </row>
    <row r="118" spans="1:4" x14ac:dyDescent="0.45">
      <c r="A118" t="s">
        <v>9</v>
      </c>
      <c r="B118" t="s">
        <v>9</v>
      </c>
      <c r="C118" t="s">
        <v>9</v>
      </c>
      <c r="D118">
        <f>SUM(A118:C118)/3</f>
        <v>0</v>
      </c>
    </row>
    <row r="119" spans="1:4" x14ac:dyDescent="0.45">
      <c r="A119" t="s">
        <v>9</v>
      </c>
      <c r="B119">
        <v>36.409999999999997</v>
      </c>
      <c r="C119">
        <v>35.89</v>
      </c>
      <c r="D119">
        <f>SUM(A119:C119)/2</f>
        <v>36.15</v>
      </c>
    </row>
    <row r="120" spans="1:4" x14ac:dyDescent="0.45">
      <c r="A120" t="s">
        <v>9</v>
      </c>
      <c r="B120" t="s">
        <v>9</v>
      </c>
      <c r="C120">
        <v>38.380000000000003</v>
      </c>
      <c r="D120">
        <f>SUM(A120:C120)/1</f>
        <v>38.380000000000003</v>
      </c>
    </row>
    <row r="121" spans="1:4" x14ac:dyDescent="0.45">
      <c r="A121">
        <v>37.950000000000003</v>
      </c>
      <c r="B121">
        <v>37.74</v>
      </c>
      <c r="C121" t="s">
        <v>9</v>
      </c>
      <c r="D121">
        <f>SUM(A121:C121)/2</f>
        <v>37.844999999999999</v>
      </c>
    </row>
    <row r="122" spans="1:4" x14ac:dyDescent="0.45">
      <c r="A122" t="s">
        <v>9</v>
      </c>
      <c r="B122" t="s">
        <v>9</v>
      </c>
      <c r="C122" t="s">
        <v>9</v>
      </c>
      <c r="D122">
        <f>SUM(A122:C122)/3</f>
        <v>0</v>
      </c>
    </row>
    <row r="123" spans="1:4" x14ac:dyDescent="0.45">
      <c r="A123" t="s">
        <v>9</v>
      </c>
      <c r="B123" t="s">
        <v>9</v>
      </c>
      <c r="C123">
        <v>36.26</v>
      </c>
      <c r="D123">
        <f>SUM(A123:C123)/1</f>
        <v>36.26</v>
      </c>
    </row>
    <row r="124" spans="1:4" x14ac:dyDescent="0.45">
      <c r="A124" t="s">
        <v>9</v>
      </c>
      <c r="B124" t="s">
        <v>9</v>
      </c>
      <c r="C124">
        <v>37.74</v>
      </c>
      <c r="D124">
        <f>SUM(A124:C124)/1</f>
        <v>37.74</v>
      </c>
    </row>
    <row r="125" spans="1:4" x14ac:dyDescent="0.45">
      <c r="A125">
        <v>39.26</v>
      </c>
      <c r="B125" t="s">
        <v>9</v>
      </c>
      <c r="C125" t="s">
        <v>9</v>
      </c>
      <c r="D125">
        <f>SUM(A125:C125)/1</f>
        <v>39.26</v>
      </c>
    </row>
    <row r="126" spans="1:4" x14ac:dyDescent="0.45">
      <c r="A126">
        <v>37.5</v>
      </c>
      <c r="B126" t="s">
        <v>9</v>
      </c>
      <c r="C126">
        <v>37.65</v>
      </c>
      <c r="D126">
        <f>SUM(A126:C126)/2</f>
        <v>37.575000000000003</v>
      </c>
    </row>
    <row r="127" spans="1:4" x14ac:dyDescent="0.45">
      <c r="A127">
        <v>37.229999999999997</v>
      </c>
      <c r="B127">
        <v>36.770000000000003</v>
      </c>
      <c r="C127">
        <v>37.21</v>
      </c>
      <c r="D127">
        <f>SUM(A127:C127)/3</f>
        <v>37.07</v>
      </c>
    </row>
    <row r="128" spans="1:4" x14ac:dyDescent="0.45">
      <c r="A128">
        <v>39.090000000000003</v>
      </c>
      <c r="B128" t="s">
        <v>9</v>
      </c>
      <c r="C128">
        <v>37.729999999999997</v>
      </c>
      <c r="D128">
        <f>SUM(A128:C128)/2</f>
        <v>38.409999999999997</v>
      </c>
    </row>
    <row r="129" spans="1:4" x14ac:dyDescent="0.45">
      <c r="A129">
        <v>37.270000000000003</v>
      </c>
      <c r="B129">
        <v>38.61</v>
      </c>
      <c r="C129" t="s">
        <v>9</v>
      </c>
      <c r="D129">
        <f>SUM(A129:C129)/2</f>
        <v>37.94</v>
      </c>
    </row>
    <row r="130" spans="1:4" x14ac:dyDescent="0.45">
      <c r="A130" t="s">
        <v>9</v>
      </c>
      <c r="B130">
        <v>39.85</v>
      </c>
      <c r="C130" t="s">
        <v>9</v>
      </c>
      <c r="D130">
        <f>SUM(A130:C130)/1</f>
        <v>39.85</v>
      </c>
    </row>
    <row r="131" spans="1:4" x14ac:dyDescent="0.45">
      <c r="A131">
        <v>38.700000000000003</v>
      </c>
      <c r="B131">
        <v>38</v>
      </c>
      <c r="C131" t="s">
        <v>9</v>
      </c>
      <c r="D131">
        <f>SUM(A131:C131)/2</f>
        <v>38.35</v>
      </c>
    </row>
    <row r="132" spans="1:4" x14ac:dyDescent="0.45">
      <c r="A132">
        <v>37.76</v>
      </c>
      <c r="B132" t="s">
        <v>9</v>
      </c>
      <c r="C132">
        <v>38.65</v>
      </c>
      <c r="D132">
        <f>SUM(A132:C132)/2</f>
        <v>38.204999999999998</v>
      </c>
    </row>
    <row r="133" spans="1:4" x14ac:dyDescent="0.45">
      <c r="A133">
        <v>37.9</v>
      </c>
      <c r="B133" t="s">
        <v>9</v>
      </c>
      <c r="C133" t="s">
        <v>9</v>
      </c>
      <c r="D133">
        <f>SUM(A133:C133)/1</f>
        <v>37.9</v>
      </c>
    </row>
    <row r="134" spans="1:4" x14ac:dyDescent="0.45">
      <c r="A134">
        <v>38.56</v>
      </c>
      <c r="B134">
        <v>37.07</v>
      </c>
      <c r="C134">
        <v>36.43</v>
      </c>
      <c r="D134">
        <f>SUM(A134:C134)/3</f>
        <v>37.353333333333332</v>
      </c>
    </row>
    <row r="135" spans="1:4" x14ac:dyDescent="0.45">
      <c r="A135">
        <v>37.340000000000003</v>
      </c>
      <c r="B135" t="s">
        <v>9</v>
      </c>
      <c r="C135">
        <v>38.18</v>
      </c>
      <c r="D135">
        <f>SUM(A135:C135)/2</f>
        <v>37.760000000000005</v>
      </c>
    </row>
    <row r="136" spans="1:4" x14ac:dyDescent="0.45">
      <c r="A136" t="s">
        <v>9</v>
      </c>
      <c r="B136">
        <v>38.51</v>
      </c>
      <c r="C136">
        <v>36.04</v>
      </c>
      <c r="D136">
        <f>SUM(A136:C136)/2</f>
        <v>37.274999999999999</v>
      </c>
    </row>
    <row r="137" spans="1:4" x14ac:dyDescent="0.45">
      <c r="A137">
        <v>36.72</v>
      </c>
      <c r="B137">
        <v>36.56</v>
      </c>
      <c r="C137" t="s">
        <v>9</v>
      </c>
      <c r="D137">
        <f>SUM(A137:C137)/2</f>
        <v>36.64</v>
      </c>
    </row>
    <row r="138" spans="1:4" x14ac:dyDescent="0.45">
      <c r="A138" t="s">
        <v>9</v>
      </c>
      <c r="B138" t="s">
        <v>9</v>
      </c>
      <c r="C138">
        <v>37.56</v>
      </c>
      <c r="D138">
        <f>SUM(A138:C138)/1</f>
        <v>37.56</v>
      </c>
    </row>
    <row r="139" spans="1:4" x14ac:dyDescent="0.45">
      <c r="A139">
        <v>37.74</v>
      </c>
      <c r="B139" t="s">
        <v>9</v>
      </c>
      <c r="C139" t="s">
        <v>9</v>
      </c>
      <c r="D139">
        <f>SUM(A139:C139)/1</f>
        <v>37.74</v>
      </c>
    </row>
    <row r="140" spans="1:4" x14ac:dyDescent="0.45">
      <c r="A140">
        <v>38.28</v>
      </c>
      <c r="B140">
        <v>38.950000000000003</v>
      </c>
      <c r="C140" t="s">
        <v>9</v>
      </c>
      <c r="D140">
        <f>SUM(A140:C140)/2</f>
        <v>38.615000000000002</v>
      </c>
    </row>
    <row r="141" spans="1:4" x14ac:dyDescent="0.45">
      <c r="A141">
        <v>37.58</v>
      </c>
      <c r="B141" t="s">
        <v>9</v>
      </c>
      <c r="C141" t="s">
        <v>9</v>
      </c>
      <c r="D141">
        <f>SUM(A141:C141)/1</f>
        <v>37.58</v>
      </c>
    </row>
    <row r="142" spans="1:4" x14ac:dyDescent="0.45">
      <c r="A142">
        <v>36.9</v>
      </c>
      <c r="B142">
        <v>37.299999999999997</v>
      </c>
      <c r="C142" t="s">
        <v>9</v>
      </c>
      <c r="D142">
        <f>SUM(A142:C142)/2</f>
        <v>37.099999999999994</v>
      </c>
    </row>
    <row r="143" spans="1:4" x14ac:dyDescent="0.45">
      <c r="A143" t="s">
        <v>9</v>
      </c>
      <c r="B143">
        <v>39.83</v>
      </c>
      <c r="C143" t="s">
        <v>9</v>
      </c>
      <c r="D143">
        <f>SUM(A143:C143)/1</f>
        <v>39.83</v>
      </c>
    </row>
    <row r="144" spans="1:4" x14ac:dyDescent="0.45">
      <c r="A144">
        <v>37.42</v>
      </c>
      <c r="B144">
        <v>37.83</v>
      </c>
      <c r="C144" t="s">
        <v>9</v>
      </c>
      <c r="D144">
        <f>SUM(A144:C144)/2</f>
        <v>37.625</v>
      </c>
    </row>
    <row r="145" spans="1:4" x14ac:dyDescent="0.45">
      <c r="A145" t="s">
        <v>9</v>
      </c>
      <c r="B145" t="s">
        <v>9</v>
      </c>
      <c r="C145">
        <v>36.299999999999997</v>
      </c>
      <c r="D145">
        <f>SUM(A145:C145)/1</f>
        <v>36.299999999999997</v>
      </c>
    </row>
    <row r="146" spans="1:4" x14ac:dyDescent="0.45">
      <c r="A146" t="s">
        <v>9</v>
      </c>
      <c r="B146" t="s">
        <v>9</v>
      </c>
      <c r="C146" t="s">
        <v>9</v>
      </c>
      <c r="D146">
        <f>SUM(A146:C146)/3</f>
        <v>0</v>
      </c>
    </row>
    <row r="147" spans="1:4" x14ac:dyDescent="0.45">
      <c r="A147" t="s">
        <v>9</v>
      </c>
      <c r="B147" t="s">
        <v>9</v>
      </c>
      <c r="C147" t="s">
        <v>9</v>
      </c>
      <c r="D147">
        <f>SUM(A147:C147)/3</f>
        <v>0</v>
      </c>
    </row>
    <row r="148" spans="1:4" x14ac:dyDescent="0.45">
      <c r="A148" t="s">
        <v>9</v>
      </c>
      <c r="B148" t="s">
        <v>9</v>
      </c>
      <c r="C148" t="s">
        <v>9</v>
      </c>
      <c r="D148">
        <f>SUM(A148:C148)/3</f>
        <v>0</v>
      </c>
    </row>
    <row r="149" spans="1:4" x14ac:dyDescent="0.45">
      <c r="A149" t="s">
        <v>9</v>
      </c>
      <c r="B149">
        <v>35.83</v>
      </c>
      <c r="C149">
        <v>37.840000000000003</v>
      </c>
      <c r="D149">
        <f>SUM(A149:C149)/2</f>
        <v>36.835000000000001</v>
      </c>
    </row>
    <row r="150" spans="1:4" x14ac:dyDescent="0.45">
      <c r="A150">
        <v>38.36</v>
      </c>
      <c r="B150">
        <v>37.479999999999997</v>
      </c>
      <c r="C150">
        <v>37.89</v>
      </c>
      <c r="D150">
        <f>SUM(A150:C150)/3</f>
        <v>37.910000000000004</v>
      </c>
    </row>
    <row r="151" spans="1:4" x14ac:dyDescent="0.45">
      <c r="A151" t="s">
        <v>9</v>
      </c>
      <c r="B151" t="s">
        <v>9</v>
      </c>
      <c r="C151" t="s">
        <v>9</v>
      </c>
      <c r="D151">
        <f>SUM(A151:C151)/3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649BD-2452-48E1-BFBE-28CC73DDF217}">
  <dimension ref="A1:C151"/>
  <sheetViews>
    <sheetView workbookViewId="0">
      <selection activeCell="A4" sqref="A4"/>
    </sheetView>
  </sheetViews>
  <sheetFormatPr defaultRowHeight="14.25" x14ac:dyDescent="0.45"/>
  <sheetData>
    <row r="1" spans="1:3" x14ac:dyDescent="0.45">
      <c r="A1" t="s">
        <v>1259</v>
      </c>
      <c r="B1" t="s">
        <v>1260</v>
      </c>
      <c r="C1" t="s">
        <v>1261</v>
      </c>
    </row>
    <row r="2" spans="1:3" x14ac:dyDescent="0.45">
      <c r="A2">
        <v>35.78</v>
      </c>
      <c r="B2">
        <v>36.36</v>
      </c>
      <c r="C2">
        <v>35.07</v>
      </c>
    </row>
    <row r="3" spans="1:3" x14ac:dyDescent="0.45">
      <c r="A3">
        <v>36.54</v>
      </c>
      <c r="B3">
        <v>35.82</v>
      </c>
      <c r="C3">
        <v>36.67</v>
      </c>
    </row>
    <row r="4" spans="1:3" x14ac:dyDescent="0.45">
      <c r="A4" t="s">
        <v>1262</v>
      </c>
      <c r="B4" t="s">
        <v>1262</v>
      </c>
      <c r="C4" t="s">
        <v>1262</v>
      </c>
    </row>
    <row r="5" spans="1:3" x14ac:dyDescent="0.45">
      <c r="A5" t="s">
        <v>9</v>
      </c>
      <c r="B5" t="s">
        <v>9</v>
      </c>
      <c r="C5">
        <v>39.18</v>
      </c>
    </row>
    <row r="6" spans="1:3" x14ac:dyDescent="0.45">
      <c r="A6">
        <v>35.53</v>
      </c>
      <c r="B6">
        <v>37.700000000000003</v>
      </c>
      <c r="C6">
        <v>36.82</v>
      </c>
    </row>
    <row r="7" spans="1:3" x14ac:dyDescent="0.45">
      <c r="A7" t="s">
        <v>1262</v>
      </c>
      <c r="B7" t="s">
        <v>1262</v>
      </c>
      <c r="C7">
        <v>38.44</v>
      </c>
    </row>
    <row r="8" spans="1:3" x14ac:dyDescent="0.45">
      <c r="A8">
        <v>39.03</v>
      </c>
      <c r="B8" t="s">
        <v>1262</v>
      </c>
      <c r="C8">
        <v>39.22</v>
      </c>
    </row>
    <row r="9" spans="1:3" x14ac:dyDescent="0.45">
      <c r="A9" t="s">
        <v>1262</v>
      </c>
      <c r="B9" t="s">
        <v>1262</v>
      </c>
      <c r="C9" t="s">
        <v>1262</v>
      </c>
    </row>
    <row r="10" spans="1:3" x14ac:dyDescent="0.45">
      <c r="A10">
        <v>35.1</v>
      </c>
      <c r="B10">
        <v>37.409999999999997</v>
      </c>
      <c r="C10">
        <v>36.72</v>
      </c>
    </row>
    <row r="11" spans="1:3" x14ac:dyDescent="0.45">
      <c r="A11">
        <v>36.36</v>
      </c>
      <c r="B11">
        <v>35.1</v>
      </c>
      <c r="C11">
        <v>35.299999999999997</v>
      </c>
    </row>
    <row r="12" spans="1:3" x14ac:dyDescent="0.45">
      <c r="A12">
        <v>35.869999999999997</v>
      </c>
      <c r="B12">
        <v>36.28</v>
      </c>
      <c r="C12">
        <v>38.08</v>
      </c>
    </row>
    <row r="13" spans="1:3" x14ac:dyDescent="0.45">
      <c r="A13">
        <v>36.71</v>
      </c>
      <c r="B13">
        <v>37.549999999999997</v>
      </c>
      <c r="C13">
        <v>35.6</v>
      </c>
    </row>
    <row r="14" spans="1:3" x14ac:dyDescent="0.45">
      <c r="A14">
        <v>36.22</v>
      </c>
      <c r="B14">
        <v>36.96</v>
      </c>
      <c r="C14">
        <v>37.369999999999997</v>
      </c>
    </row>
    <row r="15" spans="1:3" x14ac:dyDescent="0.45">
      <c r="A15">
        <v>35.67</v>
      </c>
      <c r="B15">
        <v>36.68</v>
      </c>
      <c r="C15">
        <v>35.67</v>
      </c>
    </row>
    <row r="16" spans="1:3" x14ac:dyDescent="0.45">
      <c r="A16">
        <v>37.19</v>
      </c>
      <c r="B16">
        <v>39.450000000000003</v>
      </c>
      <c r="C16" t="s">
        <v>1262</v>
      </c>
    </row>
    <row r="17" spans="1:3" x14ac:dyDescent="0.45">
      <c r="A17">
        <v>35.82</v>
      </c>
      <c r="B17">
        <v>37.74</v>
      </c>
      <c r="C17">
        <v>36.96</v>
      </c>
    </row>
    <row r="18" spans="1:3" x14ac:dyDescent="0.45">
      <c r="A18">
        <v>37.43</v>
      </c>
      <c r="B18">
        <v>37.92</v>
      </c>
      <c r="C18">
        <v>37.270000000000003</v>
      </c>
    </row>
    <row r="19" spans="1:3" x14ac:dyDescent="0.45">
      <c r="A19" t="s">
        <v>9</v>
      </c>
      <c r="B19">
        <v>35.729999999999997</v>
      </c>
      <c r="C19">
        <v>35.96</v>
      </c>
    </row>
    <row r="20" spans="1:3" x14ac:dyDescent="0.45">
      <c r="A20" t="s">
        <v>1262</v>
      </c>
      <c r="B20">
        <v>37.619999999999997</v>
      </c>
      <c r="C20">
        <v>38.64</v>
      </c>
    </row>
    <row r="21" spans="1:3" x14ac:dyDescent="0.45">
      <c r="A21" t="s">
        <v>9</v>
      </c>
      <c r="B21" t="s">
        <v>9</v>
      </c>
      <c r="C21">
        <v>34.64</v>
      </c>
    </row>
    <row r="22" spans="1:3" x14ac:dyDescent="0.45">
      <c r="A22">
        <v>37.51</v>
      </c>
      <c r="B22">
        <v>36.630000000000003</v>
      </c>
      <c r="C22">
        <v>36.369999999999997</v>
      </c>
    </row>
    <row r="23" spans="1:3" x14ac:dyDescent="0.45">
      <c r="A23">
        <v>36.61</v>
      </c>
      <c r="B23">
        <v>36.25</v>
      </c>
      <c r="C23">
        <v>35.409999999999997</v>
      </c>
    </row>
    <row r="24" spans="1:3" x14ac:dyDescent="0.45">
      <c r="A24">
        <v>36.94</v>
      </c>
      <c r="B24">
        <v>37.76</v>
      </c>
      <c r="C24">
        <v>36.42</v>
      </c>
    </row>
    <row r="25" spans="1:3" x14ac:dyDescent="0.45">
      <c r="A25">
        <v>37.21</v>
      </c>
      <c r="B25">
        <v>37.020000000000003</v>
      </c>
      <c r="C25">
        <v>37.92</v>
      </c>
    </row>
    <row r="26" spans="1:3" x14ac:dyDescent="0.45">
      <c r="A26" t="s">
        <v>1262</v>
      </c>
      <c r="B26" t="s">
        <v>1262</v>
      </c>
      <c r="C26">
        <v>37.619999999999997</v>
      </c>
    </row>
    <row r="27" spans="1:3" x14ac:dyDescent="0.45">
      <c r="A27">
        <v>38.71</v>
      </c>
      <c r="B27">
        <v>38.380000000000003</v>
      </c>
      <c r="C27" t="s">
        <v>1262</v>
      </c>
    </row>
    <row r="28" spans="1:3" x14ac:dyDescent="0.45">
      <c r="A28" t="s">
        <v>1262</v>
      </c>
      <c r="B28" t="s">
        <v>1262</v>
      </c>
      <c r="C28" t="s">
        <v>1262</v>
      </c>
    </row>
    <row r="29" spans="1:3" x14ac:dyDescent="0.45">
      <c r="A29">
        <v>34.799999999999997</v>
      </c>
      <c r="B29">
        <v>36.07</v>
      </c>
      <c r="C29">
        <v>36.619999999999997</v>
      </c>
    </row>
    <row r="30" spans="1:3" x14ac:dyDescent="0.45">
      <c r="A30">
        <v>37.049999999999997</v>
      </c>
      <c r="B30">
        <v>37.159999999999997</v>
      </c>
      <c r="C30">
        <v>38.03</v>
      </c>
    </row>
    <row r="31" spans="1:3" x14ac:dyDescent="0.45">
      <c r="A31" t="s">
        <v>1262</v>
      </c>
      <c r="B31">
        <v>39.44</v>
      </c>
      <c r="C31" t="s">
        <v>1262</v>
      </c>
    </row>
    <row r="32" spans="1:3" x14ac:dyDescent="0.45">
      <c r="A32">
        <v>36.6</v>
      </c>
      <c r="B32">
        <v>37.04</v>
      </c>
      <c r="C32">
        <v>38.18</v>
      </c>
    </row>
    <row r="33" spans="1:3" x14ac:dyDescent="0.45">
      <c r="A33">
        <v>37.630000000000003</v>
      </c>
      <c r="B33">
        <v>37.39</v>
      </c>
      <c r="C33" t="s">
        <v>1262</v>
      </c>
    </row>
    <row r="34" spans="1:3" x14ac:dyDescent="0.45">
      <c r="A34">
        <v>37.119999999999997</v>
      </c>
      <c r="B34">
        <v>37.49</v>
      </c>
      <c r="C34">
        <v>36.28</v>
      </c>
    </row>
    <row r="35" spans="1:3" x14ac:dyDescent="0.45">
      <c r="A35">
        <v>37.36</v>
      </c>
      <c r="B35">
        <v>36.69</v>
      </c>
      <c r="C35" t="s">
        <v>9</v>
      </c>
    </row>
    <row r="36" spans="1:3" x14ac:dyDescent="0.45">
      <c r="A36" t="s">
        <v>9</v>
      </c>
      <c r="B36">
        <v>36.119999999999997</v>
      </c>
      <c r="C36" t="s">
        <v>9</v>
      </c>
    </row>
    <row r="37" spans="1:3" x14ac:dyDescent="0.45">
      <c r="A37">
        <v>35.81</v>
      </c>
      <c r="B37" t="s">
        <v>9</v>
      </c>
      <c r="C37">
        <v>34.75</v>
      </c>
    </row>
    <row r="38" spans="1:3" x14ac:dyDescent="0.45">
      <c r="A38" t="s">
        <v>9</v>
      </c>
      <c r="B38" t="s">
        <v>9</v>
      </c>
      <c r="C38" t="s">
        <v>9</v>
      </c>
    </row>
    <row r="39" spans="1:3" x14ac:dyDescent="0.45">
      <c r="A39">
        <v>37.03</v>
      </c>
      <c r="B39">
        <v>38.369999999999997</v>
      </c>
      <c r="C39">
        <v>37.08</v>
      </c>
    </row>
    <row r="40" spans="1:3" x14ac:dyDescent="0.45">
      <c r="A40" t="s">
        <v>1262</v>
      </c>
      <c r="B40" t="s">
        <v>1262</v>
      </c>
      <c r="C40">
        <v>37.57</v>
      </c>
    </row>
    <row r="41" spans="1:3" x14ac:dyDescent="0.45">
      <c r="A41">
        <v>38.44</v>
      </c>
      <c r="B41" t="s">
        <v>9</v>
      </c>
      <c r="C41" t="s">
        <v>9</v>
      </c>
    </row>
    <row r="42" spans="1:3" x14ac:dyDescent="0.45">
      <c r="A42" t="s">
        <v>9</v>
      </c>
      <c r="B42" t="s">
        <v>9</v>
      </c>
      <c r="C42" t="s">
        <v>9</v>
      </c>
    </row>
    <row r="43" spans="1:3" x14ac:dyDescent="0.45">
      <c r="A43">
        <v>37.39</v>
      </c>
      <c r="B43" t="s">
        <v>9</v>
      </c>
      <c r="C43" t="s">
        <v>9</v>
      </c>
    </row>
    <row r="44" spans="1:3" x14ac:dyDescent="0.45">
      <c r="A44" t="s">
        <v>9</v>
      </c>
      <c r="B44" t="s">
        <v>9</v>
      </c>
      <c r="C44" t="s">
        <v>9</v>
      </c>
    </row>
    <row r="45" spans="1:3" x14ac:dyDescent="0.45">
      <c r="A45">
        <v>37.799999999999997</v>
      </c>
      <c r="B45" t="s">
        <v>9</v>
      </c>
      <c r="C45" t="s">
        <v>9</v>
      </c>
    </row>
    <row r="46" spans="1:3" x14ac:dyDescent="0.45">
      <c r="A46">
        <v>37.380000000000003</v>
      </c>
      <c r="B46">
        <v>37.79</v>
      </c>
      <c r="C46" t="s">
        <v>9</v>
      </c>
    </row>
    <row r="47" spans="1:3" x14ac:dyDescent="0.45">
      <c r="A47" t="s">
        <v>9</v>
      </c>
      <c r="B47" t="s">
        <v>9</v>
      </c>
      <c r="C47">
        <v>39.44</v>
      </c>
    </row>
    <row r="48" spans="1:3" x14ac:dyDescent="0.45">
      <c r="A48" t="s">
        <v>9</v>
      </c>
      <c r="B48" t="s">
        <v>9</v>
      </c>
      <c r="C48">
        <v>38.76</v>
      </c>
    </row>
    <row r="49" spans="1:3" x14ac:dyDescent="0.45">
      <c r="A49">
        <v>37.17</v>
      </c>
      <c r="B49">
        <v>36.65</v>
      </c>
      <c r="C49">
        <v>37.270000000000003</v>
      </c>
    </row>
    <row r="50" spans="1:3" x14ac:dyDescent="0.45">
      <c r="A50">
        <v>36.39</v>
      </c>
      <c r="B50">
        <v>36.44</v>
      </c>
      <c r="C50">
        <v>37.89</v>
      </c>
    </row>
    <row r="51" spans="1:3" x14ac:dyDescent="0.45">
      <c r="A51">
        <v>31.86</v>
      </c>
      <c r="B51">
        <v>32.22</v>
      </c>
      <c r="C51">
        <v>31.12</v>
      </c>
    </row>
    <row r="52" spans="1:3" x14ac:dyDescent="0.45">
      <c r="A52" t="s">
        <v>9</v>
      </c>
      <c r="B52" t="s">
        <v>9</v>
      </c>
      <c r="C52">
        <v>37.659999999999997</v>
      </c>
    </row>
    <row r="53" spans="1:3" x14ac:dyDescent="0.45">
      <c r="A53" t="s">
        <v>9</v>
      </c>
      <c r="B53" t="s">
        <v>9</v>
      </c>
      <c r="C53" t="s">
        <v>9</v>
      </c>
    </row>
    <row r="54" spans="1:3" x14ac:dyDescent="0.45">
      <c r="A54" t="s">
        <v>9</v>
      </c>
      <c r="B54">
        <v>39.07</v>
      </c>
      <c r="C54">
        <v>37.11</v>
      </c>
    </row>
    <row r="55" spans="1:3" x14ac:dyDescent="0.45">
      <c r="A55" t="s">
        <v>9</v>
      </c>
      <c r="B55" t="s">
        <v>9</v>
      </c>
      <c r="C55" t="s">
        <v>9</v>
      </c>
    </row>
    <row r="56" spans="1:3" x14ac:dyDescent="0.45">
      <c r="A56">
        <v>36.049999999999997</v>
      </c>
      <c r="B56">
        <v>38.71</v>
      </c>
      <c r="C56">
        <v>38.46</v>
      </c>
    </row>
    <row r="57" spans="1:3" x14ac:dyDescent="0.45">
      <c r="A57">
        <v>38.17</v>
      </c>
      <c r="B57" t="s">
        <v>9</v>
      </c>
      <c r="C57">
        <v>37.409999999999997</v>
      </c>
    </row>
    <row r="58" spans="1:3" x14ac:dyDescent="0.45">
      <c r="A58" t="s">
        <v>9</v>
      </c>
      <c r="B58" t="s">
        <v>9</v>
      </c>
      <c r="C58" t="s">
        <v>9</v>
      </c>
    </row>
    <row r="59" spans="1:3" x14ac:dyDescent="0.45">
      <c r="A59" t="s">
        <v>9</v>
      </c>
      <c r="B59">
        <v>37.61</v>
      </c>
      <c r="C59" t="s">
        <v>9</v>
      </c>
    </row>
    <row r="60" spans="1:3" x14ac:dyDescent="0.45">
      <c r="A60" t="s">
        <v>9</v>
      </c>
      <c r="B60" t="s">
        <v>9</v>
      </c>
      <c r="C60" t="s">
        <v>9</v>
      </c>
    </row>
    <row r="61" spans="1:3" x14ac:dyDescent="0.45">
      <c r="A61">
        <v>39.33</v>
      </c>
      <c r="B61">
        <v>37.4</v>
      </c>
      <c r="C61" t="s">
        <v>9</v>
      </c>
    </row>
    <row r="62" spans="1:3" x14ac:dyDescent="0.45">
      <c r="A62" t="s">
        <v>9</v>
      </c>
      <c r="B62" t="s">
        <v>9</v>
      </c>
      <c r="C62" t="s">
        <v>9</v>
      </c>
    </row>
    <row r="63" spans="1:3" x14ac:dyDescent="0.45">
      <c r="A63" t="s">
        <v>9</v>
      </c>
      <c r="B63" t="s">
        <v>9</v>
      </c>
      <c r="C63" t="s">
        <v>9</v>
      </c>
    </row>
    <row r="64" spans="1:3" x14ac:dyDescent="0.45">
      <c r="A64">
        <v>39.97</v>
      </c>
      <c r="B64" t="s">
        <v>9</v>
      </c>
      <c r="C64">
        <v>37.26</v>
      </c>
    </row>
    <row r="65" spans="1:3" x14ac:dyDescent="0.45">
      <c r="A65">
        <v>36.950000000000003</v>
      </c>
      <c r="B65">
        <v>36.450000000000003</v>
      </c>
      <c r="C65" t="s">
        <v>9</v>
      </c>
    </row>
    <row r="66" spans="1:3" x14ac:dyDescent="0.45">
      <c r="A66">
        <v>37.700000000000003</v>
      </c>
      <c r="B66" t="s">
        <v>9</v>
      </c>
      <c r="C66" t="s">
        <v>9</v>
      </c>
    </row>
    <row r="67" spans="1:3" x14ac:dyDescent="0.45">
      <c r="A67" t="s">
        <v>9</v>
      </c>
      <c r="B67" t="s">
        <v>9</v>
      </c>
      <c r="C67" t="s">
        <v>9</v>
      </c>
    </row>
    <row r="68" spans="1:3" x14ac:dyDescent="0.45">
      <c r="A68">
        <v>36.14</v>
      </c>
      <c r="B68">
        <v>37.07</v>
      </c>
      <c r="C68">
        <v>37.549999999999997</v>
      </c>
    </row>
    <row r="69" spans="1:3" x14ac:dyDescent="0.45">
      <c r="A69" t="s">
        <v>9</v>
      </c>
      <c r="B69" t="s">
        <v>9</v>
      </c>
      <c r="C69">
        <v>38.72</v>
      </c>
    </row>
    <row r="70" spans="1:3" x14ac:dyDescent="0.45">
      <c r="A70" t="s">
        <v>9</v>
      </c>
      <c r="B70" t="s">
        <v>9</v>
      </c>
      <c r="C70" t="s">
        <v>9</v>
      </c>
    </row>
    <row r="71" spans="1:3" x14ac:dyDescent="0.45">
      <c r="A71" t="s">
        <v>9</v>
      </c>
      <c r="B71" t="s">
        <v>9</v>
      </c>
      <c r="C71" t="s">
        <v>9</v>
      </c>
    </row>
    <row r="72" spans="1:3" x14ac:dyDescent="0.45">
      <c r="A72" t="s">
        <v>9</v>
      </c>
      <c r="B72">
        <v>38.89</v>
      </c>
      <c r="C72" t="s">
        <v>9</v>
      </c>
    </row>
    <row r="73" spans="1:3" x14ac:dyDescent="0.45">
      <c r="A73" t="s">
        <v>9</v>
      </c>
      <c r="B73" t="s">
        <v>9</v>
      </c>
      <c r="C73" t="s">
        <v>9</v>
      </c>
    </row>
    <row r="74" spans="1:3" x14ac:dyDescent="0.45">
      <c r="A74" t="s">
        <v>9</v>
      </c>
      <c r="B74" t="s">
        <v>9</v>
      </c>
      <c r="C74" t="s">
        <v>9</v>
      </c>
    </row>
    <row r="75" spans="1:3" x14ac:dyDescent="0.45">
      <c r="A75" t="s">
        <v>9</v>
      </c>
      <c r="B75">
        <v>37.76</v>
      </c>
      <c r="C75" t="s">
        <v>9</v>
      </c>
    </row>
    <row r="76" spans="1:3" x14ac:dyDescent="0.45">
      <c r="A76">
        <v>39.25</v>
      </c>
      <c r="B76" t="s">
        <v>9</v>
      </c>
      <c r="C76">
        <v>38.18</v>
      </c>
    </row>
    <row r="77" spans="1:3" x14ac:dyDescent="0.45">
      <c r="A77" t="s">
        <v>9</v>
      </c>
      <c r="B77" t="s">
        <v>9</v>
      </c>
      <c r="C77" t="s">
        <v>9</v>
      </c>
    </row>
    <row r="78" spans="1:3" x14ac:dyDescent="0.45">
      <c r="A78" t="s">
        <v>9</v>
      </c>
      <c r="B78">
        <v>37.68</v>
      </c>
      <c r="C78">
        <v>38.67</v>
      </c>
    </row>
    <row r="79" spans="1:3" x14ac:dyDescent="0.45">
      <c r="A79" t="s">
        <v>9</v>
      </c>
      <c r="B79" t="s">
        <v>9</v>
      </c>
      <c r="C79" t="s">
        <v>9</v>
      </c>
    </row>
    <row r="80" spans="1:3" x14ac:dyDescent="0.45">
      <c r="A80">
        <v>38.53</v>
      </c>
      <c r="B80" t="s">
        <v>9</v>
      </c>
      <c r="C80" t="s">
        <v>9</v>
      </c>
    </row>
    <row r="81" spans="1:3" x14ac:dyDescent="0.45">
      <c r="A81">
        <v>37.31</v>
      </c>
      <c r="B81">
        <v>36.79</v>
      </c>
      <c r="C81">
        <v>39.590000000000003</v>
      </c>
    </row>
    <row r="82" spans="1:3" x14ac:dyDescent="0.45">
      <c r="A82" t="s">
        <v>9</v>
      </c>
      <c r="B82" t="s">
        <v>9</v>
      </c>
      <c r="C82" t="s">
        <v>9</v>
      </c>
    </row>
    <row r="83" spans="1:3" x14ac:dyDescent="0.45">
      <c r="A83">
        <v>37.56</v>
      </c>
      <c r="B83">
        <v>36.15</v>
      </c>
      <c r="C83">
        <v>37.590000000000003</v>
      </c>
    </row>
    <row r="84" spans="1:3" x14ac:dyDescent="0.45">
      <c r="A84" t="s">
        <v>9</v>
      </c>
      <c r="B84" t="s">
        <v>9</v>
      </c>
      <c r="C84" t="s">
        <v>9</v>
      </c>
    </row>
    <row r="85" spans="1:3" x14ac:dyDescent="0.45">
      <c r="A85" t="s">
        <v>9</v>
      </c>
      <c r="B85" t="s">
        <v>9</v>
      </c>
      <c r="C85" t="s">
        <v>9</v>
      </c>
    </row>
    <row r="86" spans="1:3" x14ac:dyDescent="0.45">
      <c r="A86" t="s">
        <v>9</v>
      </c>
      <c r="B86" t="s">
        <v>9</v>
      </c>
      <c r="C86" t="s">
        <v>9</v>
      </c>
    </row>
    <row r="87" spans="1:3" x14ac:dyDescent="0.45">
      <c r="A87">
        <v>37.340000000000003</v>
      </c>
      <c r="B87">
        <v>37.35</v>
      </c>
      <c r="C87">
        <v>38.39</v>
      </c>
    </row>
    <row r="88" spans="1:3" x14ac:dyDescent="0.45">
      <c r="A88" t="s">
        <v>9</v>
      </c>
      <c r="B88" t="s">
        <v>9</v>
      </c>
      <c r="C88" t="s">
        <v>9</v>
      </c>
    </row>
    <row r="89" spans="1:3" x14ac:dyDescent="0.45">
      <c r="A89">
        <v>38.770000000000003</v>
      </c>
      <c r="B89">
        <v>38.229999999999997</v>
      </c>
      <c r="C89">
        <v>37.4</v>
      </c>
    </row>
    <row r="90" spans="1:3" x14ac:dyDescent="0.45">
      <c r="A90" t="s">
        <v>9</v>
      </c>
      <c r="B90" t="s">
        <v>9</v>
      </c>
      <c r="C90" t="s">
        <v>9</v>
      </c>
    </row>
    <row r="91" spans="1:3" x14ac:dyDescent="0.45">
      <c r="A91">
        <v>39.53</v>
      </c>
      <c r="B91" t="s">
        <v>9</v>
      </c>
      <c r="C91">
        <v>37.99</v>
      </c>
    </row>
    <row r="92" spans="1:3" x14ac:dyDescent="0.45">
      <c r="A92" t="s">
        <v>9</v>
      </c>
      <c r="B92" t="s">
        <v>9</v>
      </c>
      <c r="C92" t="s">
        <v>9</v>
      </c>
    </row>
    <row r="93" spans="1:3" x14ac:dyDescent="0.45">
      <c r="A93">
        <v>36.92</v>
      </c>
      <c r="B93">
        <v>35.85</v>
      </c>
      <c r="C93">
        <v>39.54</v>
      </c>
    </row>
    <row r="94" spans="1:3" x14ac:dyDescent="0.45">
      <c r="A94" t="s">
        <v>9</v>
      </c>
      <c r="B94">
        <v>37.450000000000003</v>
      </c>
      <c r="C94">
        <v>37.119999999999997</v>
      </c>
    </row>
    <row r="95" spans="1:3" x14ac:dyDescent="0.45">
      <c r="A95">
        <v>38.869999999999997</v>
      </c>
      <c r="B95">
        <v>37.43</v>
      </c>
      <c r="C95">
        <v>36.74</v>
      </c>
    </row>
    <row r="96" spans="1:3" x14ac:dyDescent="0.45">
      <c r="A96">
        <v>37.14</v>
      </c>
      <c r="B96" t="s">
        <v>9</v>
      </c>
      <c r="C96" t="s">
        <v>9</v>
      </c>
    </row>
    <row r="97" spans="1:3" x14ac:dyDescent="0.45">
      <c r="A97">
        <v>37.380000000000003</v>
      </c>
      <c r="B97" t="s">
        <v>9</v>
      </c>
      <c r="C97">
        <v>36.4</v>
      </c>
    </row>
    <row r="98" spans="1:3" x14ac:dyDescent="0.45">
      <c r="A98" t="s">
        <v>9</v>
      </c>
      <c r="B98" t="s">
        <v>9</v>
      </c>
      <c r="C98" t="s">
        <v>9</v>
      </c>
    </row>
    <row r="99" spans="1:3" x14ac:dyDescent="0.45">
      <c r="A99" t="s">
        <v>9</v>
      </c>
      <c r="B99">
        <v>38.299999999999997</v>
      </c>
      <c r="C99">
        <v>36.43</v>
      </c>
    </row>
    <row r="100" spans="1:3" x14ac:dyDescent="0.45">
      <c r="A100">
        <v>39.82</v>
      </c>
      <c r="B100">
        <v>39.340000000000003</v>
      </c>
      <c r="C100" t="s">
        <v>9</v>
      </c>
    </row>
    <row r="101" spans="1:3" x14ac:dyDescent="0.45">
      <c r="A101" t="s">
        <v>9</v>
      </c>
      <c r="B101">
        <v>35.92</v>
      </c>
      <c r="C101">
        <v>37.130000000000003</v>
      </c>
    </row>
    <row r="102" spans="1:3" x14ac:dyDescent="0.45">
      <c r="A102">
        <v>39.090000000000003</v>
      </c>
      <c r="B102" t="s">
        <v>9</v>
      </c>
      <c r="C102" t="s">
        <v>9</v>
      </c>
    </row>
    <row r="103" spans="1:3" x14ac:dyDescent="0.45">
      <c r="A103">
        <v>37.94</v>
      </c>
      <c r="B103">
        <v>37.700000000000003</v>
      </c>
      <c r="C103">
        <v>37.76</v>
      </c>
    </row>
    <row r="104" spans="1:3" x14ac:dyDescent="0.45">
      <c r="A104" t="s">
        <v>9</v>
      </c>
      <c r="B104">
        <v>36.82</v>
      </c>
      <c r="C104" t="s">
        <v>9</v>
      </c>
    </row>
    <row r="105" spans="1:3" x14ac:dyDescent="0.45">
      <c r="A105">
        <v>31.3</v>
      </c>
      <c r="B105" t="s">
        <v>9</v>
      </c>
      <c r="C105" t="s">
        <v>9</v>
      </c>
    </row>
    <row r="106" spans="1:3" x14ac:dyDescent="0.45">
      <c r="A106" t="s">
        <v>9</v>
      </c>
      <c r="B106" t="s">
        <v>9</v>
      </c>
      <c r="C106">
        <v>37.909999999999997</v>
      </c>
    </row>
    <row r="107" spans="1:3" x14ac:dyDescent="0.45">
      <c r="A107" t="s">
        <v>9</v>
      </c>
      <c r="B107">
        <v>36.57</v>
      </c>
      <c r="C107">
        <v>37.85</v>
      </c>
    </row>
    <row r="108" spans="1:3" x14ac:dyDescent="0.45">
      <c r="A108" t="s">
        <v>9</v>
      </c>
      <c r="B108">
        <v>36.450000000000003</v>
      </c>
      <c r="C108">
        <v>37.5</v>
      </c>
    </row>
    <row r="109" spans="1:3" x14ac:dyDescent="0.45">
      <c r="A109" t="s">
        <v>9</v>
      </c>
      <c r="B109" t="s">
        <v>9</v>
      </c>
      <c r="C109">
        <v>38.76</v>
      </c>
    </row>
    <row r="110" spans="1:3" x14ac:dyDescent="0.45">
      <c r="A110" t="s">
        <v>9</v>
      </c>
      <c r="B110" t="s">
        <v>9</v>
      </c>
      <c r="C110" t="s">
        <v>9</v>
      </c>
    </row>
    <row r="111" spans="1:3" x14ac:dyDescent="0.45">
      <c r="A111" t="s">
        <v>9</v>
      </c>
      <c r="B111" t="s">
        <v>9</v>
      </c>
      <c r="C111" t="s">
        <v>9</v>
      </c>
    </row>
    <row r="112" spans="1:3" x14ac:dyDescent="0.45">
      <c r="A112" t="s">
        <v>9</v>
      </c>
      <c r="B112">
        <v>36.69</v>
      </c>
      <c r="C112">
        <v>36.54</v>
      </c>
    </row>
    <row r="113" spans="1:3" x14ac:dyDescent="0.45">
      <c r="A113" t="s">
        <v>9</v>
      </c>
      <c r="B113">
        <v>36.659999999999997</v>
      </c>
      <c r="C113">
        <v>39.49</v>
      </c>
    </row>
    <row r="114" spans="1:3" x14ac:dyDescent="0.45">
      <c r="A114" t="s">
        <v>9</v>
      </c>
      <c r="B114" t="s">
        <v>9</v>
      </c>
      <c r="C114">
        <v>37.729999999999997</v>
      </c>
    </row>
    <row r="115" spans="1:3" x14ac:dyDescent="0.45">
      <c r="A115">
        <v>37.6</v>
      </c>
      <c r="B115">
        <v>37.94</v>
      </c>
      <c r="C115" t="s">
        <v>9</v>
      </c>
    </row>
    <row r="116" spans="1:3" x14ac:dyDescent="0.45">
      <c r="A116" t="s">
        <v>9</v>
      </c>
      <c r="B116" t="s">
        <v>9</v>
      </c>
      <c r="C116" t="s">
        <v>9</v>
      </c>
    </row>
    <row r="117" spans="1:3" x14ac:dyDescent="0.45">
      <c r="A117">
        <v>37.35</v>
      </c>
      <c r="B117">
        <v>39.79</v>
      </c>
      <c r="C117" t="s">
        <v>9</v>
      </c>
    </row>
    <row r="118" spans="1:3" x14ac:dyDescent="0.45">
      <c r="A118" t="s">
        <v>9</v>
      </c>
      <c r="B118" t="s">
        <v>9</v>
      </c>
      <c r="C118" t="s">
        <v>9</v>
      </c>
    </row>
    <row r="119" spans="1:3" x14ac:dyDescent="0.45">
      <c r="A119" t="s">
        <v>9</v>
      </c>
      <c r="B119">
        <v>36.409999999999997</v>
      </c>
      <c r="C119">
        <v>35.89</v>
      </c>
    </row>
    <row r="120" spans="1:3" x14ac:dyDescent="0.45">
      <c r="A120" t="s">
        <v>9</v>
      </c>
      <c r="B120" t="s">
        <v>9</v>
      </c>
      <c r="C120">
        <v>38.380000000000003</v>
      </c>
    </row>
    <row r="121" spans="1:3" x14ac:dyDescent="0.45">
      <c r="A121">
        <v>37.950000000000003</v>
      </c>
      <c r="B121">
        <v>37.74</v>
      </c>
      <c r="C121" t="s">
        <v>9</v>
      </c>
    </row>
    <row r="122" spans="1:3" x14ac:dyDescent="0.45">
      <c r="A122" t="s">
        <v>9</v>
      </c>
      <c r="B122" t="s">
        <v>9</v>
      </c>
      <c r="C122" t="s">
        <v>9</v>
      </c>
    </row>
    <row r="123" spans="1:3" x14ac:dyDescent="0.45">
      <c r="A123" t="s">
        <v>9</v>
      </c>
      <c r="B123" t="s">
        <v>9</v>
      </c>
      <c r="C123">
        <v>36.26</v>
      </c>
    </row>
    <row r="124" spans="1:3" x14ac:dyDescent="0.45">
      <c r="A124" t="s">
        <v>9</v>
      </c>
      <c r="B124" t="s">
        <v>9</v>
      </c>
      <c r="C124">
        <v>37.74</v>
      </c>
    </row>
    <row r="125" spans="1:3" x14ac:dyDescent="0.45">
      <c r="A125">
        <v>39.26</v>
      </c>
      <c r="B125" t="s">
        <v>9</v>
      </c>
      <c r="C125" t="s">
        <v>9</v>
      </c>
    </row>
    <row r="126" spans="1:3" x14ac:dyDescent="0.45">
      <c r="A126">
        <v>37.5</v>
      </c>
      <c r="B126" t="s">
        <v>9</v>
      </c>
      <c r="C126">
        <v>37.65</v>
      </c>
    </row>
    <row r="127" spans="1:3" x14ac:dyDescent="0.45">
      <c r="A127">
        <v>37.229999999999997</v>
      </c>
      <c r="B127">
        <v>36.770000000000003</v>
      </c>
      <c r="C127">
        <v>37.21</v>
      </c>
    </row>
    <row r="128" spans="1:3" x14ac:dyDescent="0.45">
      <c r="A128">
        <v>39.090000000000003</v>
      </c>
      <c r="B128" t="s">
        <v>9</v>
      </c>
      <c r="C128">
        <v>37.729999999999997</v>
      </c>
    </row>
    <row r="129" spans="1:3" x14ac:dyDescent="0.45">
      <c r="A129">
        <v>37.270000000000003</v>
      </c>
      <c r="B129">
        <v>38.61</v>
      </c>
      <c r="C129" t="s">
        <v>9</v>
      </c>
    </row>
    <row r="130" spans="1:3" x14ac:dyDescent="0.45">
      <c r="A130" t="s">
        <v>9</v>
      </c>
      <c r="B130">
        <v>39.85</v>
      </c>
      <c r="C130" t="s">
        <v>9</v>
      </c>
    </row>
    <row r="131" spans="1:3" x14ac:dyDescent="0.45">
      <c r="A131">
        <v>38.700000000000003</v>
      </c>
      <c r="B131">
        <v>38</v>
      </c>
      <c r="C131" t="s">
        <v>9</v>
      </c>
    </row>
    <row r="132" spans="1:3" x14ac:dyDescent="0.45">
      <c r="A132">
        <v>37.76</v>
      </c>
      <c r="B132" t="s">
        <v>9</v>
      </c>
      <c r="C132">
        <v>38.65</v>
      </c>
    </row>
    <row r="133" spans="1:3" x14ac:dyDescent="0.45">
      <c r="A133">
        <v>37.9</v>
      </c>
      <c r="B133" t="s">
        <v>9</v>
      </c>
      <c r="C133" t="s">
        <v>9</v>
      </c>
    </row>
    <row r="134" spans="1:3" x14ac:dyDescent="0.45">
      <c r="A134">
        <v>38.56</v>
      </c>
      <c r="B134">
        <v>37.07</v>
      </c>
      <c r="C134">
        <v>36.43</v>
      </c>
    </row>
    <row r="135" spans="1:3" x14ac:dyDescent="0.45">
      <c r="A135">
        <v>37.340000000000003</v>
      </c>
      <c r="B135" t="s">
        <v>9</v>
      </c>
      <c r="C135">
        <v>38.18</v>
      </c>
    </row>
    <row r="136" spans="1:3" x14ac:dyDescent="0.45">
      <c r="A136" t="s">
        <v>9</v>
      </c>
      <c r="B136">
        <v>38.51</v>
      </c>
      <c r="C136">
        <v>36.04</v>
      </c>
    </row>
    <row r="137" spans="1:3" x14ac:dyDescent="0.45">
      <c r="A137">
        <v>36.72</v>
      </c>
      <c r="B137">
        <v>36.56</v>
      </c>
      <c r="C137" t="s">
        <v>9</v>
      </c>
    </row>
    <row r="138" spans="1:3" x14ac:dyDescent="0.45">
      <c r="A138" t="s">
        <v>9</v>
      </c>
      <c r="B138" t="s">
        <v>9</v>
      </c>
      <c r="C138">
        <v>37.56</v>
      </c>
    </row>
    <row r="139" spans="1:3" x14ac:dyDescent="0.45">
      <c r="A139">
        <v>37.74</v>
      </c>
      <c r="B139" t="s">
        <v>9</v>
      </c>
      <c r="C139" t="s">
        <v>9</v>
      </c>
    </row>
    <row r="140" spans="1:3" x14ac:dyDescent="0.45">
      <c r="A140">
        <v>38.28</v>
      </c>
      <c r="B140">
        <v>38.950000000000003</v>
      </c>
      <c r="C140" t="s">
        <v>9</v>
      </c>
    </row>
    <row r="141" spans="1:3" x14ac:dyDescent="0.45">
      <c r="A141">
        <v>37.58</v>
      </c>
      <c r="B141" t="s">
        <v>9</v>
      </c>
      <c r="C141" t="s">
        <v>9</v>
      </c>
    </row>
    <row r="142" spans="1:3" x14ac:dyDescent="0.45">
      <c r="A142">
        <v>36.9</v>
      </c>
      <c r="B142">
        <v>37.299999999999997</v>
      </c>
      <c r="C142" t="s">
        <v>9</v>
      </c>
    </row>
    <row r="143" spans="1:3" x14ac:dyDescent="0.45">
      <c r="A143" t="s">
        <v>9</v>
      </c>
      <c r="B143">
        <v>39.83</v>
      </c>
      <c r="C143" t="s">
        <v>9</v>
      </c>
    </row>
    <row r="144" spans="1:3" x14ac:dyDescent="0.45">
      <c r="A144">
        <v>37.42</v>
      </c>
      <c r="B144">
        <v>37.83</v>
      </c>
      <c r="C144" t="s">
        <v>9</v>
      </c>
    </row>
    <row r="145" spans="1:3" x14ac:dyDescent="0.45">
      <c r="A145" t="s">
        <v>9</v>
      </c>
      <c r="B145" t="s">
        <v>9</v>
      </c>
      <c r="C145">
        <v>36.299999999999997</v>
      </c>
    </row>
    <row r="146" spans="1:3" x14ac:dyDescent="0.45">
      <c r="A146" t="s">
        <v>9</v>
      </c>
      <c r="B146" t="s">
        <v>9</v>
      </c>
      <c r="C146" t="s">
        <v>9</v>
      </c>
    </row>
    <row r="147" spans="1:3" x14ac:dyDescent="0.45">
      <c r="A147" t="s">
        <v>9</v>
      </c>
      <c r="B147" t="s">
        <v>9</v>
      </c>
      <c r="C147" t="s">
        <v>9</v>
      </c>
    </row>
    <row r="148" spans="1:3" x14ac:dyDescent="0.45">
      <c r="A148" t="s">
        <v>9</v>
      </c>
      <c r="B148" t="s">
        <v>9</v>
      </c>
      <c r="C148" t="s">
        <v>9</v>
      </c>
    </row>
    <row r="149" spans="1:3" x14ac:dyDescent="0.45">
      <c r="A149" t="s">
        <v>9</v>
      </c>
      <c r="B149">
        <v>35.83</v>
      </c>
      <c r="C149">
        <v>37.840000000000003</v>
      </c>
    </row>
    <row r="150" spans="1:3" x14ac:dyDescent="0.45">
      <c r="A150">
        <v>38.36</v>
      </c>
      <c r="B150">
        <v>37.479999999999997</v>
      </c>
      <c r="C150">
        <v>37.89</v>
      </c>
    </row>
    <row r="151" spans="1:3" x14ac:dyDescent="0.45">
      <c r="A151" t="s">
        <v>9</v>
      </c>
      <c r="B151" t="s">
        <v>9</v>
      </c>
      <c r="C151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7CBA-A48F-4C94-996A-F6E6CF443E0D}">
  <dimension ref="A1:I151"/>
  <sheetViews>
    <sheetView topLeftCell="A88" workbookViewId="0">
      <selection activeCell="E147" sqref="E147"/>
    </sheetView>
  </sheetViews>
  <sheetFormatPr defaultRowHeight="14.25" x14ac:dyDescent="0.45"/>
  <cols>
    <col min="3" max="3" width="12.3984375" customWidth="1"/>
    <col min="4" max="4" width="25.3984375" customWidth="1"/>
    <col min="5" max="5" width="15.86328125" customWidth="1"/>
    <col min="6" max="6" width="11.73046875" customWidth="1"/>
    <col min="7" max="7" width="11.6640625" customWidth="1"/>
    <col min="8" max="8" width="12.59765625" customWidth="1"/>
    <col min="9" max="9" width="15.265625" customWidth="1"/>
  </cols>
  <sheetData>
    <row r="1" spans="1:9" x14ac:dyDescent="0.45">
      <c r="A1" t="s">
        <v>1379</v>
      </c>
      <c r="B1" t="s">
        <v>1380</v>
      </c>
      <c r="C1" t="s">
        <v>1365</v>
      </c>
      <c r="D1" t="s">
        <v>1381</v>
      </c>
      <c r="E1" t="s">
        <v>1366</v>
      </c>
      <c r="F1" t="s">
        <v>760</v>
      </c>
      <c r="G1" t="s">
        <v>765</v>
      </c>
      <c r="H1" t="s">
        <v>766</v>
      </c>
      <c r="I1" t="s">
        <v>1367</v>
      </c>
    </row>
    <row r="2" spans="1:9" x14ac:dyDescent="0.45">
      <c r="A2" t="s">
        <v>297</v>
      </c>
      <c r="B2" t="s">
        <v>1382</v>
      </c>
      <c r="C2">
        <v>1</v>
      </c>
      <c r="D2">
        <v>0</v>
      </c>
      <c r="E2">
        <v>18.8</v>
      </c>
      <c r="F2">
        <v>4.8600000000000003</v>
      </c>
      <c r="G2">
        <v>0</v>
      </c>
      <c r="H2">
        <v>1</v>
      </c>
      <c r="I2">
        <v>1</v>
      </c>
    </row>
    <row r="3" spans="1:9" x14ac:dyDescent="0.45">
      <c r="A3" t="s">
        <v>303</v>
      </c>
      <c r="B3" t="s">
        <v>1382</v>
      </c>
      <c r="C3">
        <v>1</v>
      </c>
      <c r="D3">
        <v>0</v>
      </c>
      <c r="E3">
        <v>18.8</v>
      </c>
      <c r="F3">
        <v>6.62</v>
      </c>
      <c r="G3">
        <v>0</v>
      </c>
      <c r="H3">
        <v>0</v>
      </c>
      <c r="I3">
        <v>1</v>
      </c>
    </row>
    <row r="4" spans="1:9" x14ac:dyDescent="0.45">
      <c r="A4" t="s">
        <v>259</v>
      </c>
      <c r="B4" t="s">
        <v>1382</v>
      </c>
      <c r="C4">
        <v>0</v>
      </c>
      <c r="D4">
        <v>0</v>
      </c>
      <c r="E4">
        <v>18.8</v>
      </c>
      <c r="F4">
        <v>6.69</v>
      </c>
      <c r="G4">
        <v>0</v>
      </c>
      <c r="H4">
        <v>0</v>
      </c>
      <c r="I4">
        <v>0</v>
      </c>
    </row>
    <row r="5" spans="1:9" x14ac:dyDescent="0.45">
      <c r="A5" t="s">
        <v>248</v>
      </c>
      <c r="B5" t="s">
        <v>1382</v>
      </c>
      <c r="C5">
        <v>0</v>
      </c>
      <c r="D5">
        <v>0</v>
      </c>
      <c r="E5">
        <v>18.8</v>
      </c>
      <c r="F5">
        <v>6.45</v>
      </c>
      <c r="G5">
        <v>0</v>
      </c>
      <c r="H5">
        <v>0</v>
      </c>
      <c r="I5">
        <v>1</v>
      </c>
    </row>
    <row r="6" spans="1:9" x14ac:dyDescent="0.45">
      <c r="A6" t="s">
        <v>300</v>
      </c>
      <c r="B6" t="s">
        <v>1382</v>
      </c>
      <c r="C6">
        <v>1</v>
      </c>
      <c r="D6">
        <v>0</v>
      </c>
      <c r="E6">
        <v>18.7</v>
      </c>
      <c r="F6">
        <v>6.29</v>
      </c>
      <c r="G6">
        <v>0</v>
      </c>
      <c r="H6">
        <v>0</v>
      </c>
      <c r="I6">
        <v>0</v>
      </c>
    </row>
    <row r="7" spans="1:9" x14ac:dyDescent="0.45">
      <c r="A7" t="s">
        <v>190</v>
      </c>
      <c r="B7" t="s">
        <v>1382</v>
      </c>
      <c r="C7">
        <v>0</v>
      </c>
      <c r="D7">
        <v>0</v>
      </c>
      <c r="E7">
        <v>18.7</v>
      </c>
      <c r="F7">
        <v>6.5</v>
      </c>
      <c r="G7">
        <v>0</v>
      </c>
      <c r="H7">
        <v>0</v>
      </c>
      <c r="I7">
        <v>0</v>
      </c>
    </row>
    <row r="8" spans="1:9" x14ac:dyDescent="0.45">
      <c r="A8" t="s">
        <v>252</v>
      </c>
      <c r="B8" t="s">
        <v>1382</v>
      </c>
      <c r="C8">
        <v>0</v>
      </c>
      <c r="D8">
        <v>0</v>
      </c>
      <c r="E8">
        <v>18.8</v>
      </c>
      <c r="F8">
        <v>6.31</v>
      </c>
      <c r="G8">
        <v>0</v>
      </c>
      <c r="H8">
        <v>0</v>
      </c>
      <c r="I8">
        <v>0</v>
      </c>
    </row>
    <row r="9" spans="1:9" x14ac:dyDescent="0.45">
      <c r="A9" t="s">
        <v>207</v>
      </c>
      <c r="B9" t="s">
        <v>1382</v>
      </c>
      <c r="C9">
        <v>0</v>
      </c>
      <c r="D9">
        <v>0</v>
      </c>
      <c r="E9">
        <v>18.8</v>
      </c>
      <c r="F9">
        <v>6.29</v>
      </c>
      <c r="G9">
        <v>0</v>
      </c>
      <c r="H9">
        <v>0</v>
      </c>
      <c r="I9">
        <v>0</v>
      </c>
    </row>
    <row r="10" spans="1:9" x14ac:dyDescent="0.45">
      <c r="A10" t="s">
        <v>175</v>
      </c>
      <c r="B10" t="s">
        <v>1382</v>
      </c>
      <c r="C10">
        <v>1</v>
      </c>
      <c r="D10">
        <v>0</v>
      </c>
      <c r="E10">
        <v>18.7</v>
      </c>
      <c r="F10">
        <v>6.86</v>
      </c>
      <c r="G10">
        <v>0</v>
      </c>
      <c r="H10">
        <v>0</v>
      </c>
      <c r="I10">
        <v>0</v>
      </c>
    </row>
    <row r="11" spans="1:9" x14ac:dyDescent="0.45">
      <c r="A11" t="s">
        <v>275</v>
      </c>
      <c r="B11" t="s">
        <v>1382</v>
      </c>
      <c r="C11">
        <v>1</v>
      </c>
      <c r="D11">
        <v>0</v>
      </c>
      <c r="E11">
        <v>18.600000000000001</v>
      </c>
      <c r="F11">
        <v>7.95</v>
      </c>
      <c r="G11">
        <v>0</v>
      </c>
      <c r="H11">
        <v>0</v>
      </c>
      <c r="I11">
        <v>1</v>
      </c>
    </row>
    <row r="12" spans="1:9" x14ac:dyDescent="0.45">
      <c r="A12" t="s">
        <v>212</v>
      </c>
      <c r="B12" t="s">
        <v>1382</v>
      </c>
      <c r="C12">
        <v>1</v>
      </c>
      <c r="D12">
        <v>0</v>
      </c>
      <c r="E12">
        <v>18.5</v>
      </c>
      <c r="F12">
        <v>7.9</v>
      </c>
      <c r="G12">
        <v>0</v>
      </c>
      <c r="H12">
        <v>0</v>
      </c>
      <c r="I12">
        <v>1</v>
      </c>
    </row>
    <row r="13" spans="1:9" x14ac:dyDescent="0.45">
      <c r="A13" t="s">
        <v>289</v>
      </c>
      <c r="B13" t="s">
        <v>1382</v>
      </c>
      <c r="C13">
        <v>1</v>
      </c>
      <c r="D13">
        <v>0</v>
      </c>
      <c r="E13">
        <v>18.5</v>
      </c>
      <c r="F13">
        <v>7.71</v>
      </c>
      <c r="G13">
        <v>0</v>
      </c>
      <c r="H13">
        <v>0</v>
      </c>
      <c r="I13">
        <v>0</v>
      </c>
    </row>
    <row r="14" spans="1:9" x14ac:dyDescent="0.45">
      <c r="A14" t="s">
        <v>203</v>
      </c>
      <c r="B14" t="s">
        <v>1382</v>
      </c>
      <c r="C14">
        <v>1</v>
      </c>
      <c r="D14">
        <v>0</v>
      </c>
      <c r="E14">
        <v>18.5</v>
      </c>
      <c r="F14">
        <v>7.69</v>
      </c>
      <c r="G14">
        <v>0</v>
      </c>
      <c r="H14">
        <v>0</v>
      </c>
      <c r="I14">
        <v>0</v>
      </c>
    </row>
    <row r="15" spans="1:9" x14ac:dyDescent="0.45">
      <c r="A15" t="s">
        <v>234</v>
      </c>
      <c r="B15" t="s">
        <v>1382</v>
      </c>
      <c r="C15">
        <v>1</v>
      </c>
      <c r="D15">
        <v>0</v>
      </c>
      <c r="E15">
        <v>18.5</v>
      </c>
      <c r="F15">
        <v>7.85</v>
      </c>
      <c r="G15">
        <v>0</v>
      </c>
      <c r="H15">
        <v>0</v>
      </c>
      <c r="I15">
        <v>0</v>
      </c>
    </row>
    <row r="16" spans="1:9" x14ac:dyDescent="0.45">
      <c r="A16" t="s">
        <v>270</v>
      </c>
      <c r="B16" t="s">
        <v>1382</v>
      </c>
      <c r="C16">
        <v>0</v>
      </c>
      <c r="D16">
        <v>0</v>
      </c>
      <c r="E16">
        <v>18.5</v>
      </c>
      <c r="F16">
        <v>7.71</v>
      </c>
      <c r="G16">
        <v>0</v>
      </c>
      <c r="H16">
        <v>0</v>
      </c>
      <c r="I16">
        <v>0</v>
      </c>
    </row>
    <row r="17" spans="1:9" x14ac:dyDescent="0.45">
      <c r="A17" t="s">
        <v>273</v>
      </c>
      <c r="B17" t="s">
        <v>1382</v>
      </c>
      <c r="C17">
        <v>0</v>
      </c>
      <c r="D17">
        <v>0</v>
      </c>
      <c r="E17">
        <v>18.600000000000001</v>
      </c>
      <c r="F17">
        <v>7.66</v>
      </c>
      <c r="G17">
        <v>0</v>
      </c>
      <c r="H17">
        <v>1</v>
      </c>
      <c r="I17">
        <v>0</v>
      </c>
    </row>
    <row r="18" spans="1:9" x14ac:dyDescent="0.45">
      <c r="A18" t="s">
        <v>287</v>
      </c>
      <c r="B18" t="s">
        <v>1382</v>
      </c>
      <c r="C18">
        <v>0</v>
      </c>
      <c r="D18">
        <v>0</v>
      </c>
      <c r="E18">
        <v>18.600000000000001</v>
      </c>
      <c r="F18">
        <v>7.95</v>
      </c>
      <c r="G18">
        <v>0</v>
      </c>
      <c r="H18">
        <v>1</v>
      </c>
      <c r="I18">
        <v>0</v>
      </c>
    </row>
    <row r="19" spans="1:9" x14ac:dyDescent="0.45">
      <c r="A19" t="s">
        <v>307</v>
      </c>
      <c r="B19" t="s">
        <v>1382</v>
      </c>
      <c r="C19">
        <v>1</v>
      </c>
      <c r="D19">
        <v>0</v>
      </c>
      <c r="E19">
        <v>18.600000000000001</v>
      </c>
      <c r="F19">
        <v>7.35</v>
      </c>
      <c r="G19">
        <v>0</v>
      </c>
      <c r="H19">
        <v>1</v>
      </c>
      <c r="I19">
        <v>0</v>
      </c>
    </row>
    <row r="20" spans="1:9" x14ac:dyDescent="0.45">
      <c r="A20" t="s">
        <v>166</v>
      </c>
      <c r="B20" t="s">
        <v>1382</v>
      </c>
      <c r="C20">
        <v>0</v>
      </c>
      <c r="D20">
        <v>0</v>
      </c>
      <c r="E20">
        <v>18.600000000000001</v>
      </c>
      <c r="F20">
        <v>7.33</v>
      </c>
      <c r="G20">
        <v>0</v>
      </c>
      <c r="H20">
        <v>1</v>
      </c>
      <c r="I20">
        <v>0</v>
      </c>
    </row>
    <row r="21" spans="1:9" x14ac:dyDescent="0.45">
      <c r="A21" t="s">
        <v>292</v>
      </c>
      <c r="B21" t="s">
        <v>1382</v>
      </c>
      <c r="C21">
        <v>0</v>
      </c>
      <c r="D21">
        <v>0</v>
      </c>
      <c r="E21">
        <v>18.600000000000001</v>
      </c>
      <c r="F21">
        <v>8.23</v>
      </c>
      <c r="G21">
        <v>0</v>
      </c>
      <c r="H21">
        <v>1</v>
      </c>
      <c r="I21">
        <v>0</v>
      </c>
    </row>
    <row r="22" spans="1:9" x14ac:dyDescent="0.45">
      <c r="A22" t="s">
        <v>256</v>
      </c>
      <c r="B22" t="s">
        <v>1382</v>
      </c>
      <c r="C22">
        <v>1</v>
      </c>
      <c r="D22">
        <v>0</v>
      </c>
      <c r="E22">
        <v>18.399999999999999</v>
      </c>
      <c r="F22">
        <v>9.89</v>
      </c>
      <c r="G22">
        <v>0</v>
      </c>
      <c r="H22">
        <v>0</v>
      </c>
      <c r="I22">
        <v>0</v>
      </c>
    </row>
    <row r="23" spans="1:9" x14ac:dyDescent="0.45">
      <c r="A23" t="s">
        <v>230</v>
      </c>
      <c r="B23" t="s">
        <v>1382</v>
      </c>
      <c r="C23">
        <v>1</v>
      </c>
      <c r="D23">
        <v>0</v>
      </c>
      <c r="E23">
        <v>18.399999999999999</v>
      </c>
      <c r="F23">
        <v>8.4</v>
      </c>
      <c r="G23">
        <v>0</v>
      </c>
      <c r="H23">
        <v>0</v>
      </c>
      <c r="I23">
        <v>0</v>
      </c>
    </row>
    <row r="24" spans="1:9" x14ac:dyDescent="0.45">
      <c r="A24" t="s">
        <v>233</v>
      </c>
      <c r="B24" t="s">
        <v>1382</v>
      </c>
      <c r="C24">
        <v>0</v>
      </c>
      <c r="D24">
        <v>0</v>
      </c>
      <c r="E24">
        <v>18.399999999999999</v>
      </c>
      <c r="F24">
        <v>8.2799999999999994</v>
      </c>
      <c r="G24">
        <v>0</v>
      </c>
      <c r="H24">
        <v>0</v>
      </c>
      <c r="I24">
        <v>0</v>
      </c>
    </row>
    <row r="25" spans="1:9" x14ac:dyDescent="0.45">
      <c r="A25" t="s">
        <v>313</v>
      </c>
      <c r="B25" t="s">
        <v>1382</v>
      </c>
      <c r="C25">
        <v>0</v>
      </c>
      <c r="D25">
        <v>0</v>
      </c>
      <c r="E25">
        <v>18.3</v>
      </c>
      <c r="F25">
        <v>8.2799999999999994</v>
      </c>
      <c r="G25">
        <v>0</v>
      </c>
      <c r="H25">
        <v>0</v>
      </c>
      <c r="I25">
        <v>0</v>
      </c>
    </row>
    <row r="26" spans="1:9" x14ac:dyDescent="0.45">
      <c r="A26" t="s">
        <v>229</v>
      </c>
      <c r="B26" t="s">
        <v>1382</v>
      </c>
      <c r="C26">
        <v>0</v>
      </c>
      <c r="D26">
        <v>0</v>
      </c>
      <c r="E26">
        <v>18.399999999999999</v>
      </c>
      <c r="F26">
        <v>8.23</v>
      </c>
      <c r="G26">
        <v>0</v>
      </c>
      <c r="H26">
        <v>0</v>
      </c>
      <c r="I26">
        <v>0</v>
      </c>
    </row>
    <row r="27" spans="1:9" x14ac:dyDescent="0.45">
      <c r="A27" t="s">
        <v>314</v>
      </c>
      <c r="B27" t="s">
        <v>1382</v>
      </c>
      <c r="C27">
        <v>0</v>
      </c>
      <c r="D27">
        <v>0</v>
      </c>
      <c r="E27">
        <v>18.399999999999999</v>
      </c>
      <c r="F27">
        <v>8.23</v>
      </c>
      <c r="G27">
        <v>0</v>
      </c>
      <c r="H27">
        <v>0</v>
      </c>
      <c r="I27">
        <v>0</v>
      </c>
    </row>
    <row r="28" spans="1:9" x14ac:dyDescent="0.45">
      <c r="A28" t="s">
        <v>238</v>
      </c>
      <c r="B28" t="s">
        <v>1382</v>
      </c>
      <c r="C28">
        <v>0</v>
      </c>
      <c r="D28">
        <v>0</v>
      </c>
      <c r="E28">
        <v>18.399999999999999</v>
      </c>
      <c r="F28">
        <v>8.4700000000000006</v>
      </c>
      <c r="G28">
        <v>0</v>
      </c>
      <c r="H28">
        <v>0</v>
      </c>
      <c r="I28">
        <v>0</v>
      </c>
    </row>
    <row r="29" spans="1:9" x14ac:dyDescent="0.45">
      <c r="A29" t="s">
        <v>301</v>
      </c>
      <c r="B29" t="s">
        <v>1382</v>
      </c>
      <c r="C29">
        <v>1</v>
      </c>
      <c r="D29">
        <v>0</v>
      </c>
      <c r="E29">
        <v>18.399999999999999</v>
      </c>
      <c r="F29">
        <v>8.16</v>
      </c>
      <c r="G29">
        <v>0</v>
      </c>
      <c r="H29">
        <v>1</v>
      </c>
      <c r="I29">
        <v>1</v>
      </c>
    </row>
    <row r="30" spans="1:9" x14ac:dyDescent="0.45">
      <c r="A30" t="s">
        <v>194</v>
      </c>
      <c r="B30" t="s">
        <v>1382</v>
      </c>
      <c r="C30">
        <v>0</v>
      </c>
      <c r="D30">
        <v>0</v>
      </c>
      <c r="E30">
        <v>18.399999999999999</v>
      </c>
      <c r="F30">
        <v>8.3000000000000007</v>
      </c>
      <c r="G30">
        <v>0</v>
      </c>
      <c r="H30">
        <v>1</v>
      </c>
      <c r="I30">
        <v>1</v>
      </c>
    </row>
    <row r="31" spans="1:9" x14ac:dyDescent="0.45">
      <c r="A31" t="s">
        <v>157</v>
      </c>
      <c r="B31" t="s">
        <v>1382</v>
      </c>
      <c r="C31">
        <v>0</v>
      </c>
      <c r="D31">
        <v>0</v>
      </c>
      <c r="E31">
        <v>18.399999999999999</v>
      </c>
      <c r="F31">
        <v>9.08</v>
      </c>
      <c r="G31">
        <v>0</v>
      </c>
      <c r="H31">
        <v>1</v>
      </c>
      <c r="I31">
        <v>0</v>
      </c>
    </row>
    <row r="32" spans="1:9" x14ac:dyDescent="0.45">
      <c r="A32" t="s">
        <v>245</v>
      </c>
      <c r="B32" t="s">
        <v>1382</v>
      </c>
      <c r="C32">
        <v>0</v>
      </c>
      <c r="D32">
        <v>0</v>
      </c>
      <c r="E32">
        <v>18.5</v>
      </c>
      <c r="F32">
        <v>8.94</v>
      </c>
      <c r="G32">
        <v>0</v>
      </c>
      <c r="H32">
        <v>1</v>
      </c>
      <c r="I32">
        <v>0</v>
      </c>
    </row>
    <row r="33" spans="1:9" x14ac:dyDescent="0.45">
      <c r="A33" t="s">
        <v>246</v>
      </c>
      <c r="B33" t="s">
        <v>1382</v>
      </c>
      <c r="C33">
        <v>0</v>
      </c>
      <c r="D33">
        <v>0</v>
      </c>
      <c r="E33">
        <v>18.5</v>
      </c>
      <c r="F33">
        <v>8.82</v>
      </c>
      <c r="G33">
        <v>0</v>
      </c>
      <c r="H33">
        <v>0</v>
      </c>
      <c r="I33">
        <v>0</v>
      </c>
    </row>
    <row r="34" spans="1:9" x14ac:dyDescent="0.45">
      <c r="A34" t="s">
        <v>224</v>
      </c>
      <c r="B34" t="s">
        <v>1382</v>
      </c>
      <c r="C34">
        <v>0</v>
      </c>
      <c r="D34">
        <v>0</v>
      </c>
      <c r="E34">
        <v>18.5</v>
      </c>
      <c r="F34">
        <v>8.8000000000000007</v>
      </c>
      <c r="G34">
        <v>0</v>
      </c>
      <c r="H34">
        <v>0</v>
      </c>
      <c r="I34">
        <v>1</v>
      </c>
    </row>
    <row r="35" spans="1:9" x14ac:dyDescent="0.45">
      <c r="A35" t="s">
        <v>290</v>
      </c>
      <c r="B35" t="s">
        <v>1382</v>
      </c>
      <c r="C35">
        <v>0</v>
      </c>
      <c r="D35">
        <v>0</v>
      </c>
      <c r="E35">
        <v>18.5</v>
      </c>
      <c r="F35">
        <v>8.75</v>
      </c>
      <c r="G35">
        <v>0</v>
      </c>
      <c r="H35">
        <v>0</v>
      </c>
      <c r="I35">
        <v>0</v>
      </c>
    </row>
    <row r="36" spans="1:9" x14ac:dyDescent="0.45">
      <c r="A36" t="s">
        <v>283</v>
      </c>
      <c r="B36" t="s">
        <v>1382</v>
      </c>
      <c r="C36">
        <v>0</v>
      </c>
      <c r="D36">
        <v>0</v>
      </c>
      <c r="E36">
        <v>18.5</v>
      </c>
      <c r="F36">
        <v>8.61</v>
      </c>
      <c r="G36">
        <v>0</v>
      </c>
      <c r="H36">
        <v>0</v>
      </c>
      <c r="I36">
        <v>0</v>
      </c>
    </row>
    <row r="37" spans="1:9" x14ac:dyDescent="0.45">
      <c r="A37" t="s">
        <v>305</v>
      </c>
      <c r="B37" t="s">
        <v>1382</v>
      </c>
      <c r="C37">
        <v>1</v>
      </c>
      <c r="D37">
        <v>0</v>
      </c>
      <c r="E37">
        <v>18.5</v>
      </c>
      <c r="F37">
        <v>8.59</v>
      </c>
      <c r="G37">
        <v>0</v>
      </c>
      <c r="H37">
        <v>0</v>
      </c>
      <c r="I37">
        <v>0</v>
      </c>
    </row>
    <row r="38" spans="1:9" x14ac:dyDescent="0.45">
      <c r="A38" t="s">
        <v>306</v>
      </c>
      <c r="B38" t="s">
        <v>1382</v>
      </c>
      <c r="C38">
        <v>0</v>
      </c>
      <c r="D38">
        <v>0</v>
      </c>
      <c r="E38">
        <v>18.5</v>
      </c>
      <c r="F38">
        <v>9.06</v>
      </c>
      <c r="G38">
        <v>0</v>
      </c>
      <c r="H38">
        <v>0</v>
      </c>
      <c r="I38">
        <v>0</v>
      </c>
    </row>
    <row r="39" spans="1:9" x14ac:dyDescent="0.45">
      <c r="A39" t="s">
        <v>213</v>
      </c>
      <c r="B39" t="s">
        <v>1382</v>
      </c>
      <c r="C39">
        <v>0</v>
      </c>
      <c r="D39">
        <v>0</v>
      </c>
      <c r="E39">
        <v>18.5</v>
      </c>
      <c r="F39">
        <v>8.68</v>
      </c>
      <c r="G39">
        <v>0</v>
      </c>
      <c r="H39">
        <v>1</v>
      </c>
      <c r="I39">
        <v>1</v>
      </c>
    </row>
    <row r="40" spans="1:9" x14ac:dyDescent="0.45">
      <c r="A40" t="s">
        <v>231</v>
      </c>
      <c r="B40" t="s">
        <v>1382</v>
      </c>
      <c r="C40">
        <v>0</v>
      </c>
      <c r="D40">
        <v>0</v>
      </c>
      <c r="E40">
        <v>18.5</v>
      </c>
      <c r="F40">
        <v>8.6300000000000008</v>
      </c>
      <c r="G40">
        <v>0</v>
      </c>
      <c r="H40">
        <v>0</v>
      </c>
      <c r="I40">
        <v>0</v>
      </c>
    </row>
    <row r="41" spans="1:9" x14ac:dyDescent="0.45">
      <c r="A41" t="s">
        <v>191</v>
      </c>
      <c r="B41" t="s">
        <v>1382</v>
      </c>
      <c r="C41">
        <v>0</v>
      </c>
      <c r="D41">
        <v>1</v>
      </c>
      <c r="E41">
        <v>18.600000000000001</v>
      </c>
      <c r="F41">
        <v>9.23</v>
      </c>
      <c r="G41">
        <v>0</v>
      </c>
      <c r="H41">
        <v>1</v>
      </c>
      <c r="I41">
        <v>0</v>
      </c>
    </row>
    <row r="42" spans="1:9" x14ac:dyDescent="0.45">
      <c r="A42" t="s">
        <v>164</v>
      </c>
      <c r="B42" t="s">
        <v>1382</v>
      </c>
      <c r="C42">
        <v>0</v>
      </c>
      <c r="D42">
        <v>0</v>
      </c>
      <c r="E42">
        <v>18.600000000000001</v>
      </c>
      <c r="F42">
        <v>9.18</v>
      </c>
      <c r="G42">
        <v>0</v>
      </c>
      <c r="H42">
        <v>0</v>
      </c>
      <c r="I42">
        <v>0</v>
      </c>
    </row>
    <row r="43" spans="1:9" x14ac:dyDescent="0.45">
      <c r="A43" t="s">
        <v>222</v>
      </c>
      <c r="B43" t="s">
        <v>1382</v>
      </c>
      <c r="C43">
        <v>0</v>
      </c>
      <c r="D43">
        <v>0</v>
      </c>
      <c r="E43">
        <v>18.600000000000001</v>
      </c>
      <c r="F43">
        <v>9.11</v>
      </c>
      <c r="G43">
        <v>0</v>
      </c>
      <c r="H43">
        <v>0</v>
      </c>
      <c r="I43">
        <v>0</v>
      </c>
    </row>
    <row r="44" spans="1:9" x14ac:dyDescent="0.45">
      <c r="A44" t="s">
        <v>199</v>
      </c>
      <c r="B44" t="s">
        <v>1382</v>
      </c>
      <c r="C44">
        <v>0</v>
      </c>
      <c r="D44">
        <v>0</v>
      </c>
      <c r="E44">
        <v>18.7</v>
      </c>
      <c r="F44">
        <v>9.1999999999999993</v>
      </c>
      <c r="G44">
        <v>0</v>
      </c>
      <c r="H44">
        <v>0</v>
      </c>
      <c r="I44">
        <v>0</v>
      </c>
    </row>
    <row r="45" spans="1:9" x14ac:dyDescent="0.45">
      <c r="A45" t="s">
        <v>276</v>
      </c>
      <c r="B45" t="s">
        <v>1382</v>
      </c>
      <c r="C45">
        <v>0</v>
      </c>
      <c r="D45">
        <v>1</v>
      </c>
      <c r="E45">
        <v>18.7</v>
      </c>
      <c r="F45">
        <v>9.3000000000000007</v>
      </c>
      <c r="G45">
        <v>0</v>
      </c>
      <c r="H45">
        <v>0</v>
      </c>
      <c r="I45">
        <v>0</v>
      </c>
    </row>
    <row r="46" spans="1:9" x14ac:dyDescent="0.45">
      <c r="A46" t="s">
        <v>232</v>
      </c>
      <c r="B46" t="s">
        <v>1382</v>
      </c>
      <c r="C46">
        <v>0</v>
      </c>
      <c r="D46">
        <v>0</v>
      </c>
      <c r="E46">
        <v>18.7</v>
      </c>
      <c r="G46">
        <v>0</v>
      </c>
      <c r="H46">
        <v>0</v>
      </c>
      <c r="I46">
        <v>0</v>
      </c>
    </row>
    <row r="47" spans="1:9" x14ac:dyDescent="0.45">
      <c r="A47" t="s">
        <v>193</v>
      </c>
      <c r="B47" t="s">
        <v>1382</v>
      </c>
      <c r="C47">
        <v>0</v>
      </c>
      <c r="D47">
        <v>0</v>
      </c>
      <c r="E47">
        <v>18.7</v>
      </c>
      <c r="F47">
        <v>9.56</v>
      </c>
      <c r="G47">
        <v>0</v>
      </c>
      <c r="H47">
        <v>0</v>
      </c>
      <c r="I47">
        <v>0</v>
      </c>
    </row>
    <row r="48" spans="1:9" x14ac:dyDescent="0.45">
      <c r="A48" t="s">
        <v>243</v>
      </c>
      <c r="B48" t="s">
        <v>1382</v>
      </c>
      <c r="C48">
        <v>0</v>
      </c>
      <c r="D48">
        <v>0</v>
      </c>
      <c r="E48">
        <v>18.7</v>
      </c>
      <c r="F48">
        <v>10.65</v>
      </c>
      <c r="G48">
        <v>0</v>
      </c>
      <c r="H48">
        <v>0</v>
      </c>
      <c r="I48">
        <v>0</v>
      </c>
    </row>
    <row r="49" spans="1:9" x14ac:dyDescent="0.45">
      <c r="A49" t="s">
        <v>308</v>
      </c>
      <c r="B49" t="s">
        <v>1382</v>
      </c>
      <c r="C49">
        <v>0</v>
      </c>
      <c r="D49">
        <v>0</v>
      </c>
      <c r="E49">
        <v>18.7</v>
      </c>
      <c r="F49">
        <v>9.8000000000000007</v>
      </c>
      <c r="G49">
        <v>0</v>
      </c>
      <c r="H49">
        <v>1</v>
      </c>
      <c r="I49">
        <v>0</v>
      </c>
    </row>
    <row r="50" spans="1:9" x14ac:dyDescent="0.45">
      <c r="A50" t="s">
        <v>200</v>
      </c>
      <c r="B50" t="s">
        <v>1382</v>
      </c>
      <c r="C50">
        <v>1</v>
      </c>
      <c r="D50">
        <v>0</v>
      </c>
      <c r="E50">
        <v>18.7</v>
      </c>
      <c r="F50">
        <v>9.6300000000000008</v>
      </c>
      <c r="G50">
        <v>0</v>
      </c>
      <c r="H50">
        <v>0</v>
      </c>
      <c r="I50">
        <v>0</v>
      </c>
    </row>
    <row r="51" spans="1:9" x14ac:dyDescent="0.45">
      <c r="A51" t="s">
        <v>202</v>
      </c>
      <c r="B51" t="s">
        <v>1382</v>
      </c>
      <c r="C51">
        <v>1</v>
      </c>
      <c r="D51">
        <v>0</v>
      </c>
      <c r="E51">
        <v>18.7</v>
      </c>
      <c r="G51">
        <v>1</v>
      </c>
      <c r="H51">
        <v>1</v>
      </c>
      <c r="I51">
        <v>0</v>
      </c>
    </row>
    <row r="52" spans="1:9" x14ac:dyDescent="0.45">
      <c r="A52" t="s">
        <v>239</v>
      </c>
      <c r="B52" t="s">
        <v>1383</v>
      </c>
      <c r="C52">
        <v>0</v>
      </c>
      <c r="D52">
        <v>0</v>
      </c>
      <c r="E52">
        <v>17.7</v>
      </c>
      <c r="F52">
        <v>7.61</v>
      </c>
      <c r="G52">
        <v>1</v>
      </c>
      <c r="H52">
        <v>0</v>
      </c>
      <c r="I52">
        <v>1</v>
      </c>
    </row>
    <row r="53" spans="1:9" x14ac:dyDescent="0.45">
      <c r="A53" t="s">
        <v>257</v>
      </c>
      <c r="B53" t="s">
        <v>1383</v>
      </c>
      <c r="C53">
        <v>0</v>
      </c>
      <c r="D53">
        <v>0</v>
      </c>
      <c r="E53">
        <v>17.7</v>
      </c>
      <c r="F53">
        <v>8.94</v>
      </c>
      <c r="G53">
        <v>0</v>
      </c>
      <c r="H53">
        <v>1</v>
      </c>
      <c r="I53">
        <v>1</v>
      </c>
    </row>
    <row r="54" spans="1:9" x14ac:dyDescent="0.45">
      <c r="A54" t="s">
        <v>312</v>
      </c>
      <c r="B54" t="s">
        <v>1383</v>
      </c>
      <c r="C54">
        <v>0</v>
      </c>
      <c r="D54">
        <v>0</v>
      </c>
      <c r="E54">
        <v>17.7</v>
      </c>
      <c r="F54">
        <v>8.94</v>
      </c>
      <c r="G54">
        <v>1</v>
      </c>
      <c r="H54">
        <v>1</v>
      </c>
      <c r="I54">
        <v>0</v>
      </c>
    </row>
    <row r="55" spans="1:9" x14ac:dyDescent="0.45">
      <c r="A55" t="s">
        <v>210</v>
      </c>
      <c r="B55" t="s">
        <v>1383</v>
      </c>
      <c r="C55">
        <v>0</v>
      </c>
      <c r="D55">
        <v>0</v>
      </c>
      <c r="E55">
        <v>17.7</v>
      </c>
      <c r="F55">
        <v>12.88</v>
      </c>
      <c r="G55">
        <v>1</v>
      </c>
      <c r="H55">
        <v>1</v>
      </c>
      <c r="I55">
        <v>0</v>
      </c>
    </row>
    <row r="56" spans="1:9" x14ac:dyDescent="0.45">
      <c r="A56" t="s">
        <v>214</v>
      </c>
      <c r="B56" t="s">
        <v>1383</v>
      </c>
      <c r="C56">
        <v>0</v>
      </c>
      <c r="D56">
        <v>0</v>
      </c>
      <c r="E56">
        <v>17.7</v>
      </c>
      <c r="F56">
        <v>13.05</v>
      </c>
      <c r="G56">
        <v>1</v>
      </c>
      <c r="H56">
        <v>1</v>
      </c>
      <c r="I56">
        <v>0</v>
      </c>
    </row>
    <row r="57" spans="1:9" x14ac:dyDescent="0.45">
      <c r="A57" t="s">
        <v>206</v>
      </c>
      <c r="B57" t="s">
        <v>1383</v>
      </c>
      <c r="C57">
        <v>0</v>
      </c>
      <c r="D57">
        <v>0</v>
      </c>
      <c r="E57">
        <v>17.7</v>
      </c>
      <c r="F57">
        <v>13.26</v>
      </c>
      <c r="G57">
        <v>1</v>
      </c>
      <c r="H57">
        <v>1</v>
      </c>
      <c r="I57">
        <v>0</v>
      </c>
    </row>
    <row r="58" spans="1:9" x14ac:dyDescent="0.45">
      <c r="A58" t="s">
        <v>174</v>
      </c>
      <c r="B58" t="s">
        <v>1383</v>
      </c>
      <c r="C58">
        <v>0</v>
      </c>
      <c r="D58">
        <v>0</v>
      </c>
      <c r="E58">
        <v>17.7</v>
      </c>
      <c r="F58">
        <v>12.76</v>
      </c>
      <c r="G58">
        <v>1</v>
      </c>
      <c r="H58">
        <v>1</v>
      </c>
      <c r="I58">
        <v>0</v>
      </c>
    </row>
    <row r="59" spans="1:9" x14ac:dyDescent="0.45">
      <c r="A59" t="s">
        <v>302</v>
      </c>
      <c r="B59" t="s">
        <v>1383</v>
      </c>
      <c r="C59">
        <v>0</v>
      </c>
      <c r="D59">
        <v>0</v>
      </c>
      <c r="E59">
        <v>17.7</v>
      </c>
      <c r="F59">
        <v>12.57</v>
      </c>
      <c r="G59">
        <v>1</v>
      </c>
      <c r="H59">
        <v>1</v>
      </c>
      <c r="I59">
        <v>0</v>
      </c>
    </row>
    <row r="60" spans="1:9" x14ac:dyDescent="0.45">
      <c r="A60" t="s">
        <v>178</v>
      </c>
      <c r="B60" t="s">
        <v>1383</v>
      </c>
      <c r="C60">
        <v>0</v>
      </c>
      <c r="D60">
        <v>0</v>
      </c>
      <c r="E60">
        <v>17.7</v>
      </c>
      <c r="F60">
        <v>12.67</v>
      </c>
      <c r="G60">
        <v>1</v>
      </c>
      <c r="H60">
        <v>1</v>
      </c>
      <c r="I60">
        <v>0</v>
      </c>
    </row>
    <row r="61" spans="1:9" x14ac:dyDescent="0.45">
      <c r="A61" t="s">
        <v>304</v>
      </c>
      <c r="B61" t="s">
        <v>1383</v>
      </c>
      <c r="C61">
        <v>0</v>
      </c>
      <c r="D61">
        <v>0</v>
      </c>
      <c r="E61">
        <v>17.7</v>
      </c>
      <c r="F61">
        <v>12.52</v>
      </c>
      <c r="G61">
        <v>1</v>
      </c>
      <c r="H61">
        <v>1</v>
      </c>
      <c r="I61">
        <v>0</v>
      </c>
    </row>
    <row r="62" spans="1:9" x14ac:dyDescent="0.45">
      <c r="A62" t="s">
        <v>204</v>
      </c>
      <c r="B62" t="s">
        <v>1383</v>
      </c>
      <c r="C62">
        <v>0</v>
      </c>
      <c r="D62">
        <v>0</v>
      </c>
      <c r="E62">
        <v>17.7</v>
      </c>
      <c r="G62">
        <v>1</v>
      </c>
      <c r="H62">
        <v>1</v>
      </c>
      <c r="I62">
        <v>0</v>
      </c>
    </row>
    <row r="63" spans="1:9" x14ac:dyDescent="0.45">
      <c r="A63" t="s">
        <v>223</v>
      </c>
      <c r="B63" t="s">
        <v>1383</v>
      </c>
      <c r="C63">
        <v>0</v>
      </c>
      <c r="D63">
        <v>0</v>
      </c>
      <c r="E63">
        <v>17.7</v>
      </c>
      <c r="F63">
        <v>12.71</v>
      </c>
      <c r="G63">
        <v>1</v>
      </c>
      <c r="H63">
        <v>1</v>
      </c>
      <c r="I63">
        <v>1</v>
      </c>
    </row>
    <row r="64" spans="1:9" x14ac:dyDescent="0.45">
      <c r="A64" t="s">
        <v>277</v>
      </c>
      <c r="B64" t="s">
        <v>1383</v>
      </c>
      <c r="C64">
        <v>0</v>
      </c>
      <c r="D64">
        <v>0</v>
      </c>
      <c r="E64">
        <v>17.7</v>
      </c>
      <c r="F64">
        <v>13.12</v>
      </c>
      <c r="G64">
        <v>1</v>
      </c>
      <c r="H64">
        <v>1</v>
      </c>
      <c r="I64">
        <v>0</v>
      </c>
    </row>
    <row r="65" spans="1:9" x14ac:dyDescent="0.45">
      <c r="A65" t="s">
        <v>294</v>
      </c>
      <c r="B65" t="s">
        <v>1383</v>
      </c>
      <c r="C65">
        <v>1</v>
      </c>
      <c r="D65">
        <v>0</v>
      </c>
      <c r="E65">
        <v>17.7</v>
      </c>
      <c r="F65">
        <v>13.345000000000001</v>
      </c>
      <c r="G65">
        <v>1</v>
      </c>
      <c r="H65">
        <v>1</v>
      </c>
      <c r="I65">
        <v>0</v>
      </c>
    </row>
    <row r="66" spans="1:9" x14ac:dyDescent="0.45">
      <c r="A66" t="s">
        <v>258</v>
      </c>
      <c r="B66" t="s">
        <v>1383</v>
      </c>
      <c r="C66">
        <v>0</v>
      </c>
      <c r="D66">
        <v>0</v>
      </c>
      <c r="E66">
        <v>17.7</v>
      </c>
      <c r="F66">
        <v>13.47</v>
      </c>
      <c r="G66">
        <v>1</v>
      </c>
      <c r="H66">
        <v>1</v>
      </c>
      <c r="I66">
        <v>1</v>
      </c>
    </row>
    <row r="67" spans="1:9" x14ac:dyDescent="0.45">
      <c r="A67" t="s">
        <v>182</v>
      </c>
      <c r="B67" t="s">
        <v>1383</v>
      </c>
      <c r="C67">
        <v>0</v>
      </c>
      <c r="D67">
        <v>0</v>
      </c>
      <c r="E67">
        <v>17.7</v>
      </c>
      <c r="F67">
        <v>13.73</v>
      </c>
      <c r="G67">
        <v>1</v>
      </c>
      <c r="H67">
        <v>1</v>
      </c>
      <c r="I67">
        <v>1</v>
      </c>
    </row>
    <row r="68" spans="1:9" x14ac:dyDescent="0.45">
      <c r="A68" t="s">
        <v>288</v>
      </c>
      <c r="B68" t="s">
        <v>1383</v>
      </c>
      <c r="C68">
        <v>1</v>
      </c>
      <c r="D68">
        <v>0</v>
      </c>
      <c r="E68">
        <v>17.7</v>
      </c>
      <c r="F68">
        <v>13.9</v>
      </c>
      <c r="G68">
        <v>1</v>
      </c>
      <c r="H68">
        <v>1</v>
      </c>
      <c r="I68">
        <v>1</v>
      </c>
    </row>
    <row r="69" spans="1:9" x14ac:dyDescent="0.45">
      <c r="A69" t="s">
        <v>221</v>
      </c>
      <c r="B69" t="s">
        <v>1383</v>
      </c>
      <c r="C69">
        <v>0</v>
      </c>
      <c r="D69">
        <v>0</v>
      </c>
      <c r="E69">
        <v>17.7</v>
      </c>
      <c r="F69">
        <v>13.47</v>
      </c>
      <c r="G69">
        <v>1</v>
      </c>
      <c r="H69">
        <v>1</v>
      </c>
      <c r="I69">
        <v>1</v>
      </c>
    </row>
    <row r="70" spans="1:9" x14ac:dyDescent="0.45">
      <c r="A70" t="s">
        <v>159</v>
      </c>
      <c r="B70" t="s">
        <v>1383</v>
      </c>
      <c r="C70">
        <v>0</v>
      </c>
      <c r="D70">
        <v>0</v>
      </c>
      <c r="E70">
        <v>17.7</v>
      </c>
      <c r="F70">
        <v>11.5</v>
      </c>
      <c r="G70">
        <v>0</v>
      </c>
      <c r="H70">
        <v>1</v>
      </c>
      <c r="I70">
        <v>0</v>
      </c>
    </row>
    <row r="71" spans="1:9" x14ac:dyDescent="0.45">
      <c r="A71" t="s">
        <v>220</v>
      </c>
      <c r="B71" t="s">
        <v>1383</v>
      </c>
      <c r="C71">
        <v>0</v>
      </c>
      <c r="D71">
        <v>0</v>
      </c>
      <c r="E71">
        <v>17.7</v>
      </c>
      <c r="F71">
        <v>9.65</v>
      </c>
      <c r="G71">
        <v>0</v>
      </c>
      <c r="H71">
        <v>0</v>
      </c>
      <c r="I71">
        <v>0</v>
      </c>
    </row>
    <row r="72" spans="1:9" x14ac:dyDescent="0.45">
      <c r="A72" t="s">
        <v>177</v>
      </c>
      <c r="B72" t="s">
        <v>1383</v>
      </c>
      <c r="C72">
        <v>0</v>
      </c>
      <c r="D72">
        <v>0</v>
      </c>
      <c r="E72">
        <v>17.7</v>
      </c>
      <c r="G72">
        <v>0</v>
      </c>
      <c r="H72">
        <v>1</v>
      </c>
      <c r="I72">
        <v>0</v>
      </c>
    </row>
    <row r="73" spans="1:9" x14ac:dyDescent="0.45">
      <c r="A73" t="s">
        <v>195</v>
      </c>
      <c r="B73" t="s">
        <v>1383</v>
      </c>
      <c r="C73">
        <v>0</v>
      </c>
      <c r="D73">
        <v>0</v>
      </c>
      <c r="E73">
        <v>17.7</v>
      </c>
      <c r="G73">
        <v>0</v>
      </c>
      <c r="H73">
        <v>1</v>
      </c>
      <c r="I73">
        <v>1</v>
      </c>
    </row>
    <row r="74" spans="1:9" x14ac:dyDescent="0.45">
      <c r="A74" t="s">
        <v>227</v>
      </c>
      <c r="B74" t="s">
        <v>1383</v>
      </c>
      <c r="C74">
        <v>0</v>
      </c>
      <c r="D74">
        <v>0</v>
      </c>
      <c r="E74">
        <v>17.7</v>
      </c>
      <c r="F74">
        <v>13.73</v>
      </c>
      <c r="G74">
        <v>1</v>
      </c>
      <c r="H74">
        <v>1</v>
      </c>
      <c r="I74">
        <v>0</v>
      </c>
    </row>
    <row r="75" spans="1:9" x14ac:dyDescent="0.45">
      <c r="A75" t="s">
        <v>225</v>
      </c>
      <c r="B75" t="s">
        <v>1383</v>
      </c>
      <c r="C75">
        <v>0</v>
      </c>
      <c r="D75">
        <v>0</v>
      </c>
      <c r="E75">
        <v>17.7</v>
      </c>
      <c r="F75">
        <v>14.71</v>
      </c>
      <c r="G75">
        <v>1</v>
      </c>
      <c r="H75">
        <v>1</v>
      </c>
      <c r="I75">
        <v>0</v>
      </c>
    </row>
    <row r="76" spans="1:9" x14ac:dyDescent="0.45">
      <c r="A76" t="s">
        <v>251</v>
      </c>
      <c r="B76" t="s">
        <v>1383</v>
      </c>
      <c r="C76">
        <v>0</v>
      </c>
      <c r="D76">
        <v>0</v>
      </c>
      <c r="E76">
        <v>17.7</v>
      </c>
      <c r="F76">
        <v>14.59</v>
      </c>
      <c r="G76">
        <v>1</v>
      </c>
      <c r="H76">
        <v>1</v>
      </c>
      <c r="I76">
        <v>1</v>
      </c>
    </row>
    <row r="77" spans="1:9" x14ac:dyDescent="0.45">
      <c r="A77" t="s">
        <v>171</v>
      </c>
      <c r="B77" t="s">
        <v>1383</v>
      </c>
      <c r="C77">
        <v>0</v>
      </c>
      <c r="D77">
        <v>0</v>
      </c>
      <c r="E77">
        <v>17.7</v>
      </c>
      <c r="F77">
        <v>14.26</v>
      </c>
      <c r="G77">
        <v>1</v>
      </c>
      <c r="H77">
        <v>1</v>
      </c>
      <c r="I77">
        <v>0</v>
      </c>
    </row>
    <row r="78" spans="1:9" x14ac:dyDescent="0.45">
      <c r="A78" t="s">
        <v>211</v>
      </c>
      <c r="B78" t="s">
        <v>1383</v>
      </c>
      <c r="C78">
        <v>0</v>
      </c>
      <c r="D78">
        <v>0</v>
      </c>
      <c r="E78">
        <v>17.7</v>
      </c>
      <c r="F78">
        <v>13.99</v>
      </c>
      <c r="G78">
        <v>1</v>
      </c>
      <c r="H78">
        <v>1</v>
      </c>
      <c r="I78">
        <v>0</v>
      </c>
    </row>
    <row r="79" spans="1:9" x14ac:dyDescent="0.45">
      <c r="A79" t="s">
        <v>311</v>
      </c>
      <c r="B79" t="s">
        <v>1383</v>
      </c>
      <c r="C79">
        <v>0</v>
      </c>
      <c r="D79">
        <v>0</v>
      </c>
      <c r="E79">
        <v>17.7</v>
      </c>
      <c r="F79">
        <v>14.07</v>
      </c>
      <c r="G79">
        <v>1</v>
      </c>
      <c r="H79">
        <v>1</v>
      </c>
      <c r="I79">
        <v>0</v>
      </c>
    </row>
    <row r="80" spans="1:9" x14ac:dyDescent="0.45">
      <c r="A80" t="s">
        <v>158</v>
      </c>
      <c r="B80" t="s">
        <v>1383</v>
      </c>
      <c r="C80">
        <v>0</v>
      </c>
      <c r="D80">
        <v>0</v>
      </c>
      <c r="E80">
        <v>17.7</v>
      </c>
      <c r="F80">
        <v>13.85</v>
      </c>
      <c r="G80">
        <v>0</v>
      </c>
      <c r="H80">
        <v>1</v>
      </c>
      <c r="I80">
        <v>1</v>
      </c>
    </row>
    <row r="81" spans="1:9" x14ac:dyDescent="0.45">
      <c r="A81" t="s">
        <v>192</v>
      </c>
      <c r="B81" t="s">
        <v>1383</v>
      </c>
      <c r="C81">
        <v>0</v>
      </c>
      <c r="D81">
        <v>0</v>
      </c>
      <c r="E81">
        <v>17.7</v>
      </c>
      <c r="F81">
        <v>13.9</v>
      </c>
      <c r="G81">
        <v>0</v>
      </c>
      <c r="H81">
        <v>1</v>
      </c>
      <c r="I81">
        <v>0</v>
      </c>
    </row>
    <row r="82" spans="1:9" x14ac:dyDescent="0.45">
      <c r="A82" t="s">
        <v>161</v>
      </c>
      <c r="B82" t="s">
        <v>1383</v>
      </c>
      <c r="C82">
        <v>0</v>
      </c>
      <c r="D82">
        <v>0</v>
      </c>
      <c r="E82">
        <v>17.7</v>
      </c>
      <c r="F82">
        <v>13.85</v>
      </c>
      <c r="G82">
        <v>1</v>
      </c>
      <c r="H82">
        <v>1</v>
      </c>
      <c r="I82">
        <v>0</v>
      </c>
    </row>
    <row r="83" spans="1:9" x14ac:dyDescent="0.45">
      <c r="A83" t="s">
        <v>265</v>
      </c>
      <c r="B83" t="s">
        <v>1383</v>
      </c>
      <c r="C83">
        <v>0</v>
      </c>
      <c r="D83">
        <v>0</v>
      </c>
      <c r="E83">
        <v>17.7</v>
      </c>
      <c r="F83">
        <v>13.64</v>
      </c>
      <c r="G83">
        <v>1</v>
      </c>
      <c r="H83">
        <v>1</v>
      </c>
      <c r="I83">
        <v>1</v>
      </c>
    </row>
    <row r="84" spans="1:9" x14ac:dyDescent="0.45">
      <c r="A84" t="s">
        <v>165</v>
      </c>
      <c r="B84" t="s">
        <v>1383</v>
      </c>
      <c r="C84">
        <v>0</v>
      </c>
      <c r="D84">
        <v>0</v>
      </c>
      <c r="E84">
        <v>17.600000000000001</v>
      </c>
      <c r="F84">
        <v>13.76</v>
      </c>
      <c r="G84">
        <v>1</v>
      </c>
      <c r="H84">
        <v>1</v>
      </c>
      <c r="I84">
        <v>0</v>
      </c>
    </row>
    <row r="85" spans="1:9" x14ac:dyDescent="0.45">
      <c r="A85" t="s">
        <v>215</v>
      </c>
      <c r="B85" t="s">
        <v>1383</v>
      </c>
      <c r="C85">
        <v>0</v>
      </c>
      <c r="D85">
        <v>0</v>
      </c>
      <c r="E85">
        <v>17.600000000000001</v>
      </c>
      <c r="F85">
        <v>14.35</v>
      </c>
      <c r="G85">
        <v>0</v>
      </c>
      <c r="H85">
        <v>1</v>
      </c>
      <c r="I85">
        <v>0</v>
      </c>
    </row>
    <row r="86" spans="1:9" x14ac:dyDescent="0.45">
      <c r="A86" t="s">
        <v>186</v>
      </c>
      <c r="B86" t="s">
        <v>1383</v>
      </c>
      <c r="C86">
        <v>0</v>
      </c>
      <c r="D86">
        <v>0</v>
      </c>
      <c r="E86">
        <v>17.600000000000001</v>
      </c>
      <c r="F86">
        <v>14.11</v>
      </c>
      <c r="G86">
        <v>1</v>
      </c>
      <c r="H86">
        <v>1</v>
      </c>
      <c r="I86">
        <v>1</v>
      </c>
    </row>
    <row r="87" spans="1:9" x14ac:dyDescent="0.45">
      <c r="A87" t="s">
        <v>235</v>
      </c>
      <c r="B87" t="s">
        <v>1383</v>
      </c>
      <c r="C87">
        <v>0</v>
      </c>
      <c r="D87">
        <v>0</v>
      </c>
      <c r="E87">
        <v>17.600000000000001</v>
      </c>
      <c r="F87">
        <v>14.09</v>
      </c>
      <c r="G87">
        <v>1</v>
      </c>
      <c r="H87">
        <v>1</v>
      </c>
      <c r="I87">
        <v>0</v>
      </c>
    </row>
    <row r="88" spans="1:9" x14ac:dyDescent="0.45">
      <c r="A88" t="s">
        <v>170</v>
      </c>
      <c r="B88" t="s">
        <v>1383</v>
      </c>
      <c r="C88">
        <v>0</v>
      </c>
      <c r="D88">
        <v>0</v>
      </c>
      <c r="E88">
        <v>17.600000000000001</v>
      </c>
      <c r="F88">
        <v>14.21</v>
      </c>
      <c r="G88">
        <v>1</v>
      </c>
      <c r="H88">
        <v>1</v>
      </c>
      <c r="I88">
        <v>0</v>
      </c>
    </row>
    <row r="89" spans="1:9" x14ac:dyDescent="0.45">
      <c r="A89" t="s">
        <v>198</v>
      </c>
      <c r="B89" t="s">
        <v>1383</v>
      </c>
      <c r="C89">
        <v>0</v>
      </c>
      <c r="D89">
        <v>0</v>
      </c>
      <c r="E89">
        <v>17.7</v>
      </c>
      <c r="F89">
        <v>14.54</v>
      </c>
      <c r="G89">
        <v>1</v>
      </c>
      <c r="H89">
        <v>1</v>
      </c>
      <c r="I89">
        <v>0</v>
      </c>
    </row>
    <row r="90" spans="1:9" x14ac:dyDescent="0.45">
      <c r="A90" t="s">
        <v>169</v>
      </c>
      <c r="B90" t="s">
        <v>1383</v>
      </c>
      <c r="C90">
        <v>0</v>
      </c>
      <c r="D90">
        <v>0</v>
      </c>
      <c r="E90">
        <v>17.7</v>
      </c>
      <c r="F90">
        <v>14.56</v>
      </c>
      <c r="G90">
        <v>1</v>
      </c>
      <c r="H90">
        <v>1</v>
      </c>
      <c r="I90">
        <v>0</v>
      </c>
    </row>
    <row r="91" spans="1:9" x14ac:dyDescent="0.45">
      <c r="A91" t="s">
        <v>269</v>
      </c>
      <c r="B91" t="s">
        <v>1383</v>
      </c>
      <c r="C91">
        <v>0</v>
      </c>
      <c r="D91">
        <v>0</v>
      </c>
      <c r="E91">
        <v>17.7</v>
      </c>
      <c r="F91">
        <v>14.52</v>
      </c>
      <c r="G91">
        <v>1</v>
      </c>
      <c r="H91">
        <v>1</v>
      </c>
      <c r="I91">
        <v>0</v>
      </c>
    </row>
    <row r="92" spans="1:9" x14ac:dyDescent="0.45">
      <c r="A92" t="s">
        <v>250</v>
      </c>
      <c r="B92" t="s">
        <v>1383</v>
      </c>
      <c r="C92">
        <v>0</v>
      </c>
      <c r="D92">
        <v>0</v>
      </c>
      <c r="E92">
        <v>17.7</v>
      </c>
      <c r="F92">
        <v>14.23</v>
      </c>
      <c r="G92">
        <v>1</v>
      </c>
      <c r="H92">
        <v>1</v>
      </c>
      <c r="I92">
        <v>0</v>
      </c>
    </row>
    <row r="93" spans="1:9" x14ac:dyDescent="0.45">
      <c r="A93" t="s">
        <v>255</v>
      </c>
      <c r="B93" t="s">
        <v>1383</v>
      </c>
      <c r="C93">
        <v>1</v>
      </c>
      <c r="D93">
        <v>0</v>
      </c>
      <c r="E93">
        <v>17.600000000000001</v>
      </c>
      <c r="F93">
        <v>14.09</v>
      </c>
      <c r="G93">
        <v>1</v>
      </c>
      <c r="H93">
        <v>1</v>
      </c>
      <c r="I93">
        <v>0</v>
      </c>
    </row>
    <row r="94" spans="1:9" x14ac:dyDescent="0.45">
      <c r="A94" t="s">
        <v>299</v>
      </c>
      <c r="B94" t="s">
        <v>1383</v>
      </c>
      <c r="C94">
        <v>0</v>
      </c>
      <c r="D94">
        <v>0</v>
      </c>
      <c r="E94">
        <v>17.600000000000001</v>
      </c>
      <c r="F94">
        <v>14.11</v>
      </c>
      <c r="G94">
        <v>1</v>
      </c>
      <c r="H94">
        <v>1</v>
      </c>
      <c r="I94">
        <v>0</v>
      </c>
    </row>
    <row r="95" spans="1:9" x14ac:dyDescent="0.45">
      <c r="A95" t="s">
        <v>278</v>
      </c>
      <c r="B95" t="s">
        <v>1383</v>
      </c>
      <c r="C95">
        <v>0</v>
      </c>
      <c r="D95">
        <v>0</v>
      </c>
      <c r="E95">
        <v>17.600000000000001</v>
      </c>
      <c r="F95">
        <v>13.73</v>
      </c>
      <c r="G95">
        <v>0</v>
      </c>
      <c r="H95">
        <v>1</v>
      </c>
      <c r="I95">
        <v>0</v>
      </c>
    </row>
    <row r="96" spans="1:9" x14ac:dyDescent="0.45">
      <c r="A96" t="s">
        <v>282</v>
      </c>
      <c r="B96" t="s">
        <v>1383</v>
      </c>
      <c r="C96">
        <v>0</v>
      </c>
      <c r="D96">
        <v>0</v>
      </c>
      <c r="E96">
        <v>17.600000000000001</v>
      </c>
      <c r="F96">
        <v>13.62</v>
      </c>
      <c r="G96">
        <v>1</v>
      </c>
      <c r="H96">
        <v>1</v>
      </c>
      <c r="I96">
        <v>1</v>
      </c>
    </row>
    <row r="97" spans="1:9" x14ac:dyDescent="0.45">
      <c r="A97" t="s">
        <v>387</v>
      </c>
      <c r="B97" t="s">
        <v>1383</v>
      </c>
      <c r="C97">
        <v>1</v>
      </c>
      <c r="D97">
        <v>0</v>
      </c>
      <c r="E97">
        <v>17.600000000000001</v>
      </c>
      <c r="F97">
        <v>13.59</v>
      </c>
      <c r="G97">
        <v>1</v>
      </c>
      <c r="H97">
        <v>1</v>
      </c>
      <c r="I97">
        <v>0</v>
      </c>
    </row>
    <row r="98" spans="1:9" x14ac:dyDescent="0.45">
      <c r="A98" t="s">
        <v>184</v>
      </c>
      <c r="B98" t="s">
        <v>1383</v>
      </c>
      <c r="C98">
        <v>0</v>
      </c>
      <c r="D98">
        <v>0</v>
      </c>
      <c r="E98">
        <v>17.600000000000001</v>
      </c>
      <c r="F98">
        <v>13.24</v>
      </c>
      <c r="G98">
        <v>1</v>
      </c>
      <c r="H98">
        <v>1</v>
      </c>
      <c r="I98">
        <v>0</v>
      </c>
    </row>
    <row r="99" spans="1:9" x14ac:dyDescent="0.45">
      <c r="A99" t="s">
        <v>240</v>
      </c>
      <c r="B99" t="s">
        <v>1383</v>
      </c>
      <c r="C99">
        <v>0</v>
      </c>
      <c r="D99">
        <v>0</v>
      </c>
      <c r="E99">
        <v>17.5</v>
      </c>
      <c r="F99">
        <v>13.12</v>
      </c>
      <c r="G99">
        <v>1</v>
      </c>
      <c r="H99">
        <v>1</v>
      </c>
      <c r="I99">
        <v>0</v>
      </c>
    </row>
    <row r="100" spans="1:9" x14ac:dyDescent="0.45">
      <c r="A100" t="s">
        <v>188</v>
      </c>
      <c r="B100" t="s">
        <v>1383</v>
      </c>
      <c r="C100">
        <v>0</v>
      </c>
      <c r="D100">
        <v>0</v>
      </c>
      <c r="E100">
        <v>17.5</v>
      </c>
      <c r="F100">
        <v>13.62</v>
      </c>
      <c r="G100">
        <v>1</v>
      </c>
      <c r="H100">
        <v>1</v>
      </c>
      <c r="I100">
        <v>0</v>
      </c>
    </row>
    <row r="101" spans="1:9" x14ac:dyDescent="0.45">
      <c r="A101" t="s">
        <v>281</v>
      </c>
      <c r="B101" t="s">
        <v>1383</v>
      </c>
      <c r="C101">
        <v>1</v>
      </c>
      <c r="D101">
        <v>0</v>
      </c>
      <c r="E101">
        <v>17.5</v>
      </c>
      <c r="F101">
        <v>12.74</v>
      </c>
      <c r="G101">
        <v>1</v>
      </c>
      <c r="H101">
        <v>1</v>
      </c>
      <c r="I101">
        <v>0</v>
      </c>
    </row>
    <row r="102" spans="1:9" x14ac:dyDescent="0.45">
      <c r="A102" t="s">
        <v>310</v>
      </c>
      <c r="B102" t="s">
        <v>1384</v>
      </c>
      <c r="C102">
        <v>0</v>
      </c>
      <c r="D102">
        <v>0</v>
      </c>
      <c r="E102">
        <v>19.89</v>
      </c>
      <c r="F102">
        <v>4.46</v>
      </c>
      <c r="G102">
        <v>0</v>
      </c>
      <c r="H102">
        <v>1</v>
      </c>
      <c r="I102">
        <v>0</v>
      </c>
    </row>
    <row r="103" spans="1:9" x14ac:dyDescent="0.45">
      <c r="A103" t="s">
        <v>247</v>
      </c>
      <c r="B103" t="s">
        <v>1384</v>
      </c>
      <c r="C103">
        <v>0</v>
      </c>
      <c r="D103">
        <v>0</v>
      </c>
      <c r="E103">
        <v>19.920000000000002</v>
      </c>
      <c r="F103">
        <v>4.53</v>
      </c>
      <c r="G103">
        <v>0</v>
      </c>
      <c r="H103">
        <v>1</v>
      </c>
      <c r="I103">
        <v>0</v>
      </c>
    </row>
    <row r="104" spans="1:9" x14ac:dyDescent="0.45">
      <c r="A104" t="s">
        <v>267</v>
      </c>
      <c r="B104" t="s">
        <v>1384</v>
      </c>
      <c r="C104">
        <v>0</v>
      </c>
      <c r="D104">
        <v>0</v>
      </c>
      <c r="E104">
        <v>19.940000000000001</v>
      </c>
      <c r="F104">
        <v>4.58</v>
      </c>
      <c r="G104">
        <v>0</v>
      </c>
      <c r="H104">
        <v>1</v>
      </c>
      <c r="I104">
        <v>0</v>
      </c>
    </row>
    <row r="105" spans="1:9" x14ac:dyDescent="0.45">
      <c r="A105" t="s">
        <v>172</v>
      </c>
      <c r="B105" t="s">
        <v>1384</v>
      </c>
      <c r="C105">
        <v>0</v>
      </c>
      <c r="D105">
        <v>0</v>
      </c>
      <c r="E105">
        <v>19.95</v>
      </c>
      <c r="F105">
        <v>4.5999999999999996</v>
      </c>
      <c r="G105">
        <v>0</v>
      </c>
      <c r="H105">
        <v>1</v>
      </c>
      <c r="I105">
        <v>0</v>
      </c>
    </row>
    <row r="106" spans="1:9" x14ac:dyDescent="0.45">
      <c r="A106" t="s">
        <v>242</v>
      </c>
      <c r="B106" t="s">
        <v>1384</v>
      </c>
      <c r="C106">
        <v>0</v>
      </c>
      <c r="D106">
        <v>0</v>
      </c>
      <c r="E106">
        <v>19.97</v>
      </c>
      <c r="F106">
        <v>4.63</v>
      </c>
      <c r="G106">
        <v>0</v>
      </c>
      <c r="H106">
        <v>1</v>
      </c>
      <c r="I106">
        <v>0</v>
      </c>
    </row>
    <row r="107" spans="1:9" x14ac:dyDescent="0.45">
      <c r="A107" t="s">
        <v>293</v>
      </c>
      <c r="B107" t="s">
        <v>1384</v>
      </c>
      <c r="C107">
        <v>0</v>
      </c>
      <c r="D107">
        <v>0</v>
      </c>
      <c r="E107">
        <v>19.95</v>
      </c>
      <c r="F107">
        <v>4.74</v>
      </c>
      <c r="G107">
        <v>0</v>
      </c>
      <c r="H107">
        <v>1</v>
      </c>
      <c r="I107">
        <v>0</v>
      </c>
    </row>
    <row r="108" spans="1:9" x14ac:dyDescent="0.45">
      <c r="A108" t="s">
        <v>263</v>
      </c>
      <c r="B108" t="s">
        <v>1384</v>
      </c>
      <c r="C108">
        <v>1</v>
      </c>
      <c r="D108">
        <v>0</v>
      </c>
      <c r="E108">
        <v>20.02</v>
      </c>
      <c r="F108">
        <v>4.7</v>
      </c>
      <c r="G108">
        <v>0</v>
      </c>
      <c r="H108">
        <v>1</v>
      </c>
      <c r="I108">
        <v>0</v>
      </c>
    </row>
    <row r="109" spans="1:9" x14ac:dyDescent="0.45">
      <c r="A109" t="s">
        <v>163</v>
      </c>
      <c r="B109" t="s">
        <v>1384</v>
      </c>
      <c r="C109">
        <v>0</v>
      </c>
      <c r="D109">
        <v>0</v>
      </c>
      <c r="E109">
        <v>20.07</v>
      </c>
      <c r="F109">
        <v>4.82</v>
      </c>
      <c r="G109">
        <v>0</v>
      </c>
      <c r="H109">
        <v>1</v>
      </c>
      <c r="I109">
        <v>1</v>
      </c>
    </row>
    <row r="110" spans="1:9" x14ac:dyDescent="0.45">
      <c r="A110" t="s">
        <v>236</v>
      </c>
      <c r="B110" t="s">
        <v>1384</v>
      </c>
      <c r="C110">
        <v>0</v>
      </c>
      <c r="D110">
        <v>0</v>
      </c>
      <c r="E110">
        <v>20.07</v>
      </c>
      <c r="F110">
        <v>4.7699999999999996</v>
      </c>
      <c r="G110">
        <v>0</v>
      </c>
      <c r="H110">
        <v>1</v>
      </c>
      <c r="I110">
        <v>0</v>
      </c>
    </row>
    <row r="111" spans="1:9" x14ac:dyDescent="0.45">
      <c r="A111" t="s">
        <v>209</v>
      </c>
      <c r="B111" t="s">
        <v>1384</v>
      </c>
      <c r="C111">
        <v>0</v>
      </c>
      <c r="D111">
        <v>0</v>
      </c>
      <c r="E111">
        <v>19.98</v>
      </c>
      <c r="F111">
        <v>4.7</v>
      </c>
      <c r="G111">
        <v>0</v>
      </c>
      <c r="H111">
        <v>1</v>
      </c>
      <c r="I111">
        <v>0</v>
      </c>
    </row>
    <row r="112" spans="1:9" x14ac:dyDescent="0.45">
      <c r="A112" t="s">
        <v>264</v>
      </c>
      <c r="B112" t="s">
        <v>1384</v>
      </c>
      <c r="C112">
        <v>1</v>
      </c>
      <c r="D112">
        <v>0</v>
      </c>
      <c r="E112">
        <v>19.68</v>
      </c>
      <c r="F112">
        <v>5.0999999999999996</v>
      </c>
      <c r="G112">
        <v>0</v>
      </c>
      <c r="H112">
        <v>1</v>
      </c>
      <c r="I112">
        <v>1</v>
      </c>
    </row>
    <row r="113" spans="1:9" x14ac:dyDescent="0.45">
      <c r="A113" t="s">
        <v>272</v>
      </c>
      <c r="B113" t="s">
        <v>1384</v>
      </c>
      <c r="C113">
        <v>1</v>
      </c>
      <c r="D113">
        <v>0</v>
      </c>
      <c r="E113">
        <v>19.71</v>
      </c>
      <c r="G113">
        <v>0</v>
      </c>
      <c r="H113">
        <v>1</v>
      </c>
      <c r="I113">
        <v>0</v>
      </c>
    </row>
    <row r="114" spans="1:9" x14ac:dyDescent="0.45">
      <c r="A114" t="s">
        <v>268</v>
      </c>
      <c r="B114" t="s">
        <v>1384</v>
      </c>
      <c r="C114">
        <v>0</v>
      </c>
      <c r="D114">
        <v>0</v>
      </c>
      <c r="E114">
        <v>19.75</v>
      </c>
      <c r="G114">
        <v>0</v>
      </c>
      <c r="H114">
        <v>0</v>
      </c>
      <c r="I114">
        <v>0</v>
      </c>
    </row>
    <row r="115" spans="1:9" x14ac:dyDescent="0.45">
      <c r="A115" t="s">
        <v>274</v>
      </c>
      <c r="B115" t="s">
        <v>1384</v>
      </c>
      <c r="C115">
        <v>0</v>
      </c>
      <c r="D115">
        <v>0</v>
      </c>
      <c r="E115">
        <v>19.73</v>
      </c>
      <c r="F115">
        <v>4.91</v>
      </c>
      <c r="G115">
        <v>0</v>
      </c>
      <c r="H115">
        <v>1</v>
      </c>
      <c r="I115">
        <v>0</v>
      </c>
    </row>
    <row r="116" spans="1:9" x14ac:dyDescent="0.45">
      <c r="A116" t="s">
        <v>183</v>
      </c>
      <c r="B116" t="s">
        <v>1384</v>
      </c>
      <c r="C116">
        <v>0</v>
      </c>
      <c r="D116">
        <v>0</v>
      </c>
      <c r="E116">
        <v>19.73</v>
      </c>
      <c r="F116">
        <v>4.84</v>
      </c>
      <c r="G116">
        <v>0</v>
      </c>
      <c r="H116">
        <v>1</v>
      </c>
      <c r="I116">
        <v>1</v>
      </c>
    </row>
    <row r="117" spans="1:9" x14ac:dyDescent="0.45">
      <c r="A117" t="s">
        <v>217</v>
      </c>
      <c r="B117" t="s">
        <v>1384</v>
      </c>
      <c r="C117">
        <v>0</v>
      </c>
      <c r="D117">
        <v>0</v>
      </c>
      <c r="E117">
        <v>19.73</v>
      </c>
      <c r="F117">
        <v>4.79</v>
      </c>
      <c r="G117">
        <v>0</v>
      </c>
      <c r="H117">
        <v>1</v>
      </c>
      <c r="I117">
        <v>0</v>
      </c>
    </row>
    <row r="118" spans="1:9" x14ac:dyDescent="0.45">
      <c r="A118" t="s">
        <v>167</v>
      </c>
      <c r="B118" t="s">
        <v>1384</v>
      </c>
      <c r="C118">
        <v>0</v>
      </c>
      <c r="D118">
        <v>0</v>
      </c>
      <c r="E118">
        <v>19.73</v>
      </c>
      <c r="F118">
        <v>4.72</v>
      </c>
      <c r="G118">
        <v>0</v>
      </c>
      <c r="H118">
        <v>1</v>
      </c>
      <c r="I118">
        <v>0</v>
      </c>
    </row>
    <row r="119" spans="1:9" x14ac:dyDescent="0.45">
      <c r="A119" t="s">
        <v>298</v>
      </c>
      <c r="B119" t="s">
        <v>1384</v>
      </c>
      <c r="C119">
        <v>1</v>
      </c>
      <c r="D119">
        <v>1</v>
      </c>
      <c r="E119">
        <v>19.739999999999998</v>
      </c>
      <c r="F119">
        <v>4.63</v>
      </c>
      <c r="G119">
        <v>0</v>
      </c>
      <c r="H119">
        <v>1</v>
      </c>
      <c r="I119">
        <v>0</v>
      </c>
    </row>
    <row r="120" spans="1:9" x14ac:dyDescent="0.45">
      <c r="A120" t="s">
        <v>262</v>
      </c>
      <c r="B120" t="s">
        <v>1384</v>
      </c>
      <c r="C120">
        <v>0</v>
      </c>
      <c r="D120">
        <v>0</v>
      </c>
      <c r="E120">
        <v>19.760000000000002</v>
      </c>
      <c r="G120">
        <v>0</v>
      </c>
      <c r="H120">
        <v>1</v>
      </c>
      <c r="I120">
        <v>0</v>
      </c>
    </row>
    <row r="121" spans="1:9" x14ac:dyDescent="0.45">
      <c r="A121" t="s">
        <v>226</v>
      </c>
      <c r="B121" t="s">
        <v>1384</v>
      </c>
      <c r="C121">
        <v>0</v>
      </c>
      <c r="D121">
        <v>0</v>
      </c>
      <c r="E121">
        <v>19.78</v>
      </c>
      <c r="F121">
        <v>4.4400000000000004</v>
      </c>
      <c r="G121">
        <v>0</v>
      </c>
      <c r="H121">
        <v>1</v>
      </c>
      <c r="I121">
        <v>0</v>
      </c>
    </row>
    <row r="122" spans="1:9" x14ac:dyDescent="0.45">
      <c r="A122" t="s">
        <v>162</v>
      </c>
      <c r="B122" t="s">
        <v>1384</v>
      </c>
      <c r="C122">
        <v>0</v>
      </c>
      <c r="D122">
        <v>1</v>
      </c>
      <c r="E122">
        <v>19.75</v>
      </c>
      <c r="F122">
        <v>4.63</v>
      </c>
      <c r="G122">
        <v>0</v>
      </c>
      <c r="H122">
        <v>1</v>
      </c>
      <c r="I122">
        <v>0</v>
      </c>
    </row>
    <row r="123" spans="1:9" x14ac:dyDescent="0.45">
      <c r="A123" t="s">
        <v>295</v>
      </c>
      <c r="B123" t="s">
        <v>1384</v>
      </c>
      <c r="C123">
        <v>0</v>
      </c>
      <c r="D123">
        <v>0</v>
      </c>
      <c r="E123">
        <v>19.71</v>
      </c>
      <c r="F123">
        <v>4.72</v>
      </c>
      <c r="G123">
        <v>0</v>
      </c>
      <c r="H123">
        <v>1</v>
      </c>
      <c r="I123">
        <v>0</v>
      </c>
    </row>
    <row r="124" spans="1:9" x14ac:dyDescent="0.45">
      <c r="A124" t="s">
        <v>196</v>
      </c>
      <c r="B124" t="s">
        <v>1384</v>
      </c>
      <c r="C124">
        <v>0</v>
      </c>
      <c r="D124">
        <v>0</v>
      </c>
      <c r="E124">
        <v>19.64</v>
      </c>
      <c r="F124">
        <v>4.84</v>
      </c>
      <c r="G124">
        <v>0</v>
      </c>
      <c r="H124">
        <v>1</v>
      </c>
      <c r="I124">
        <v>0</v>
      </c>
    </row>
    <row r="125" spans="1:9" x14ac:dyDescent="0.45">
      <c r="A125" t="s">
        <v>187</v>
      </c>
      <c r="B125" t="s">
        <v>1384</v>
      </c>
      <c r="C125">
        <v>0</v>
      </c>
      <c r="D125">
        <v>0</v>
      </c>
      <c r="E125">
        <v>19.59</v>
      </c>
      <c r="F125">
        <v>4.84</v>
      </c>
      <c r="G125">
        <v>0</v>
      </c>
      <c r="H125">
        <v>1</v>
      </c>
      <c r="I125">
        <v>1</v>
      </c>
    </row>
    <row r="126" spans="1:9" x14ac:dyDescent="0.45">
      <c r="A126" t="s">
        <v>208</v>
      </c>
      <c r="B126" t="s">
        <v>1384</v>
      </c>
      <c r="C126">
        <v>0</v>
      </c>
      <c r="D126">
        <v>0</v>
      </c>
      <c r="E126">
        <v>19.510000000000002</v>
      </c>
      <c r="F126">
        <v>5</v>
      </c>
      <c r="G126">
        <v>0</v>
      </c>
      <c r="H126">
        <v>1</v>
      </c>
      <c r="I126">
        <v>0</v>
      </c>
    </row>
    <row r="127" spans="1:9" x14ac:dyDescent="0.45">
      <c r="A127" t="s">
        <v>228</v>
      </c>
      <c r="B127" t="s">
        <v>1384</v>
      </c>
      <c r="C127">
        <v>0</v>
      </c>
      <c r="D127">
        <v>0</v>
      </c>
      <c r="E127">
        <v>19.47</v>
      </c>
      <c r="F127">
        <v>4.96</v>
      </c>
      <c r="G127">
        <v>0</v>
      </c>
      <c r="H127">
        <v>1</v>
      </c>
      <c r="I127">
        <v>0</v>
      </c>
    </row>
    <row r="128" spans="1:9" x14ac:dyDescent="0.45">
      <c r="A128" t="s">
        <v>253</v>
      </c>
      <c r="B128" t="s">
        <v>1384</v>
      </c>
      <c r="C128">
        <v>0</v>
      </c>
      <c r="D128">
        <v>0</v>
      </c>
      <c r="E128">
        <v>19.43</v>
      </c>
      <c r="F128">
        <v>5.08</v>
      </c>
      <c r="G128">
        <v>0</v>
      </c>
      <c r="H128">
        <v>1</v>
      </c>
      <c r="I128">
        <v>0</v>
      </c>
    </row>
    <row r="129" spans="1:9" x14ac:dyDescent="0.45">
      <c r="A129" t="s">
        <v>241</v>
      </c>
      <c r="B129" t="s">
        <v>1384</v>
      </c>
      <c r="C129">
        <v>0</v>
      </c>
      <c r="D129">
        <v>0</v>
      </c>
      <c r="E129">
        <v>19.43</v>
      </c>
      <c r="F129">
        <v>5.15</v>
      </c>
      <c r="G129">
        <v>0</v>
      </c>
      <c r="H129">
        <v>1</v>
      </c>
      <c r="I129">
        <v>0</v>
      </c>
    </row>
    <row r="130" spans="1:9" x14ac:dyDescent="0.45">
      <c r="A130" t="s">
        <v>176</v>
      </c>
      <c r="B130" t="s">
        <v>1384</v>
      </c>
      <c r="C130">
        <v>0</v>
      </c>
      <c r="D130">
        <v>0</v>
      </c>
      <c r="E130">
        <v>19.45</v>
      </c>
      <c r="F130">
        <v>5.22</v>
      </c>
      <c r="G130">
        <v>0</v>
      </c>
      <c r="H130">
        <v>1</v>
      </c>
      <c r="I130">
        <v>1</v>
      </c>
    </row>
    <row r="131" spans="1:9" x14ac:dyDescent="0.45">
      <c r="A131" t="s">
        <v>160</v>
      </c>
      <c r="B131" t="s">
        <v>1384</v>
      </c>
      <c r="C131">
        <v>0</v>
      </c>
      <c r="D131">
        <v>0</v>
      </c>
      <c r="E131">
        <v>19.510000000000002</v>
      </c>
      <c r="F131">
        <v>5.17</v>
      </c>
      <c r="G131">
        <v>0</v>
      </c>
      <c r="H131">
        <v>1</v>
      </c>
      <c r="I131">
        <v>0</v>
      </c>
    </row>
    <row r="132" spans="1:9" x14ac:dyDescent="0.45">
      <c r="A132" t="s">
        <v>201</v>
      </c>
      <c r="B132" t="s">
        <v>1384</v>
      </c>
      <c r="C132">
        <v>0</v>
      </c>
      <c r="D132">
        <v>0</v>
      </c>
      <c r="E132">
        <v>19.690000000000001</v>
      </c>
      <c r="F132">
        <v>5.41</v>
      </c>
      <c r="G132">
        <v>0</v>
      </c>
      <c r="H132">
        <v>1</v>
      </c>
      <c r="I132">
        <v>0</v>
      </c>
    </row>
    <row r="133" spans="1:9" x14ac:dyDescent="0.45">
      <c r="A133" t="s">
        <v>179</v>
      </c>
      <c r="B133" t="s">
        <v>1384</v>
      </c>
      <c r="C133">
        <v>0</v>
      </c>
      <c r="D133">
        <v>0</v>
      </c>
      <c r="E133">
        <v>19.68</v>
      </c>
      <c r="F133">
        <v>5.34</v>
      </c>
      <c r="G133">
        <v>0</v>
      </c>
      <c r="H133">
        <v>1</v>
      </c>
      <c r="I133">
        <v>0</v>
      </c>
    </row>
    <row r="134" spans="1:9" x14ac:dyDescent="0.45">
      <c r="A134" t="s">
        <v>197</v>
      </c>
      <c r="B134" t="s">
        <v>1384</v>
      </c>
      <c r="C134">
        <v>0</v>
      </c>
      <c r="D134">
        <v>0</v>
      </c>
      <c r="E134">
        <v>19.68</v>
      </c>
      <c r="F134">
        <v>5.27</v>
      </c>
      <c r="G134">
        <v>0</v>
      </c>
      <c r="H134">
        <v>1</v>
      </c>
      <c r="I134">
        <v>0</v>
      </c>
    </row>
    <row r="135" spans="1:9" x14ac:dyDescent="0.45">
      <c r="A135" t="s">
        <v>244</v>
      </c>
      <c r="B135" t="s">
        <v>1384</v>
      </c>
      <c r="C135">
        <v>0</v>
      </c>
      <c r="D135">
        <v>1</v>
      </c>
      <c r="E135">
        <v>19.649999999999999</v>
      </c>
      <c r="F135">
        <v>5.15</v>
      </c>
      <c r="G135">
        <v>0</v>
      </c>
      <c r="H135">
        <v>1</v>
      </c>
      <c r="I135">
        <v>0</v>
      </c>
    </row>
    <row r="136" spans="1:9" x14ac:dyDescent="0.45">
      <c r="A136" t="s">
        <v>260</v>
      </c>
      <c r="B136" t="s">
        <v>1384</v>
      </c>
      <c r="C136">
        <v>0</v>
      </c>
      <c r="D136">
        <v>0</v>
      </c>
      <c r="E136">
        <v>19.559999999999999</v>
      </c>
      <c r="F136">
        <v>5.05</v>
      </c>
      <c r="G136">
        <v>0</v>
      </c>
      <c r="H136">
        <v>1</v>
      </c>
      <c r="I136">
        <v>0</v>
      </c>
    </row>
    <row r="137" spans="1:9" x14ac:dyDescent="0.45">
      <c r="A137" t="s">
        <v>271</v>
      </c>
      <c r="B137" t="s">
        <v>1384</v>
      </c>
      <c r="C137">
        <v>1</v>
      </c>
      <c r="D137">
        <v>0</v>
      </c>
      <c r="E137">
        <v>19.47</v>
      </c>
      <c r="G137">
        <v>0</v>
      </c>
      <c r="H137">
        <v>1</v>
      </c>
      <c r="I137">
        <v>0</v>
      </c>
    </row>
    <row r="138" spans="1:9" x14ac:dyDescent="0.45">
      <c r="A138" t="s">
        <v>261</v>
      </c>
      <c r="B138" t="s">
        <v>1384</v>
      </c>
      <c r="C138">
        <v>0</v>
      </c>
      <c r="D138">
        <v>0</v>
      </c>
      <c r="E138">
        <v>19.43</v>
      </c>
      <c r="F138">
        <v>4.8899999999999997</v>
      </c>
      <c r="G138">
        <v>0</v>
      </c>
      <c r="H138">
        <v>1</v>
      </c>
      <c r="I138">
        <v>0</v>
      </c>
    </row>
    <row r="139" spans="1:9" x14ac:dyDescent="0.45">
      <c r="A139" t="s">
        <v>280</v>
      </c>
      <c r="B139" t="s">
        <v>1384</v>
      </c>
      <c r="C139">
        <v>0</v>
      </c>
      <c r="D139">
        <v>0</v>
      </c>
      <c r="E139">
        <v>19.46</v>
      </c>
      <c r="F139">
        <v>4.8600000000000003</v>
      </c>
      <c r="G139">
        <v>0</v>
      </c>
      <c r="H139">
        <v>1</v>
      </c>
      <c r="I139">
        <v>0</v>
      </c>
    </row>
    <row r="140" spans="1:9" x14ac:dyDescent="0.45">
      <c r="A140" t="s">
        <v>185</v>
      </c>
      <c r="B140" t="s">
        <v>1384</v>
      </c>
      <c r="C140">
        <v>0</v>
      </c>
      <c r="D140">
        <v>0</v>
      </c>
      <c r="E140">
        <v>19.45</v>
      </c>
      <c r="F140">
        <v>4.93</v>
      </c>
      <c r="G140">
        <v>0</v>
      </c>
      <c r="H140">
        <v>1</v>
      </c>
      <c r="I140">
        <v>0</v>
      </c>
    </row>
    <row r="141" spans="1:9" x14ac:dyDescent="0.45">
      <c r="A141" t="s">
        <v>296</v>
      </c>
      <c r="B141" t="s">
        <v>1384</v>
      </c>
      <c r="C141">
        <v>0</v>
      </c>
      <c r="D141">
        <v>1</v>
      </c>
      <c r="E141">
        <v>19.45</v>
      </c>
      <c r="F141">
        <v>4.79</v>
      </c>
      <c r="G141">
        <v>1</v>
      </c>
      <c r="H141">
        <v>0</v>
      </c>
      <c r="I141">
        <v>1</v>
      </c>
    </row>
    <row r="142" spans="1:9" x14ac:dyDescent="0.45">
      <c r="A142" t="s">
        <v>218</v>
      </c>
      <c r="B142" t="s">
        <v>1384</v>
      </c>
      <c r="C142">
        <v>0</v>
      </c>
      <c r="D142">
        <v>0</v>
      </c>
      <c r="E142">
        <v>19.48</v>
      </c>
      <c r="F142">
        <v>4.8600000000000003</v>
      </c>
      <c r="G142">
        <v>0</v>
      </c>
      <c r="H142">
        <v>1</v>
      </c>
      <c r="I142">
        <v>0</v>
      </c>
    </row>
    <row r="143" spans="1:9" x14ac:dyDescent="0.45">
      <c r="A143" t="s">
        <v>216</v>
      </c>
      <c r="B143" t="s">
        <v>1384</v>
      </c>
      <c r="C143">
        <v>0</v>
      </c>
      <c r="D143">
        <v>1</v>
      </c>
      <c r="E143">
        <v>19.47</v>
      </c>
      <c r="F143">
        <v>4.91</v>
      </c>
      <c r="G143">
        <v>0</v>
      </c>
      <c r="H143">
        <v>1</v>
      </c>
      <c r="I143">
        <v>0</v>
      </c>
    </row>
    <row r="144" spans="1:9" x14ac:dyDescent="0.45">
      <c r="A144" t="s">
        <v>285</v>
      </c>
      <c r="B144" t="s">
        <v>1384</v>
      </c>
      <c r="C144">
        <v>0</v>
      </c>
      <c r="D144">
        <v>0</v>
      </c>
      <c r="E144">
        <v>19.43</v>
      </c>
      <c r="F144">
        <v>5.05</v>
      </c>
      <c r="G144">
        <v>0</v>
      </c>
      <c r="H144">
        <v>1</v>
      </c>
      <c r="I144">
        <v>1</v>
      </c>
    </row>
    <row r="145" spans="1:9" x14ac:dyDescent="0.45">
      <c r="A145" t="s">
        <v>205</v>
      </c>
      <c r="B145" t="s">
        <v>1384</v>
      </c>
      <c r="C145">
        <v>0</v>
      </c>
      <c r="D145">
        <v>0</v>
      </c>
      <c r="E145">
        <v>19.43</v>
      </c>
      <c r="F145">
        <v>5.03</v>
      </c>
      <c r="G145">
        <v>0</v>
      </c>
      <c r="H145">
        <v>1</v>
      </c>
      <c r="I145">
        <v>1</v>
      </c>
    </row>
    <row r="146" spans="1:9" x14ac:dyDescent="0.45">
      <c r="A146" t="s">
        <v>180</v>
      </c>
      <c r="B146" t="s">
        <v>1384</v>
      </c>
      <c r="C146">
        <v>0</v>
      </c>
      <c r="D146">
        <v>0</v>
      </c>
      <c r="E146">
        <v>19.46</v>
      </c>
      <c r="F146">
        <v>5.22</v>
      </c>
      <c r="G146">
        <v>0</v>
      </c>
      <c r="H146">
        <v>1</v>
      </c>
      <c r="I146">
        <v>1</v>
      </c>
    </row>
    <row r="147" spans="1:9" x14ac:dyDescent="0.45">
      <c r="A147" t="s">
        <v>291</v>
      </c>
      <c r="B147" t="s">
        <v>1384</v>
      </c>
      <c r="C147">
        <v>0</v>
      </c>
      <c r="D147">
        <v>1</v>
      </c>
      <c r="E147">
        <v>19.52</v>
      </c>
      <c r="F147">
        <v>5.17</v>
      </c>
      <c r="G147">
        <v>0</v>
      </c>
      <c r="H147">
        <v>1</v>
      </c>
      <c r="I147">
        <v>1</v>
      </c>
    </row>
    <row r="148" spans="1:9" x14ac:dyDescent="0.45">
      <c r="A148" t="s">
        <v>254</v>
      </c>
      <c r="B148" t="s">
        <v>1384</v>
      </c>
      <c r="C148">
        <v>0</v>
      </c>
      <c r="D148">
        <v>0</v>
      </c>
      <c r="G148">
        <v>0</v>
      </c>
      <c r="H148">
        <v>1</v>
      </c>
      <c r="I148">
        <v>1</v>
      </c>
    </row>
    <row r="149" spans="1:9" x14ac:dyDescent="0.45">
      <c r="A149" t="s">
        <v>286</v>
      </c>
      <c r="B149" t="s">
        <v>1384</v>
      </c>
      <c r="C149">
        <v>1</v>
      </c>
      <c r="D149">
        <v>0</v>
      </c>
      <c r="E149">
        <v>19.71</v>
      </c>
      <c r="F149">
        <v>5.22</v>
      </c>
      <c r="G149">
        <v>0</v>
      </c>
      <c r="H149">
        <v>1</v>
      </c>
      <c r="I149">
        <v>0</v>
      </c>
    </row>
    <row r="150" spans="1:9" x14ac:dyDescent="0.45">
      <c r="A150" t="s">
        <v>237</v>
      </c>
      <c r="B150" t="s">
        <v>1384</v>
      </c>
      <c r="C150">
        <v>0</v>
      </c>
      <c r="D150">
        <v>0</v>
      </c>
      <c r="E150">
        <v>19.75</v>
      </c>
      <c r="F150">
        <v>5.34</v>
      </c>
      <c r="G150">
        <v>0</v>
      </c>
      <c r="H150">
        <v>1</v>
      </c>
      <c r="I150">
        <v>0</v>
      </c>
    </row>
    <row r="151" spans="1:9" x14ac:dyDescent="0.45">
      <c r="A151" t="s">
        <v>284</v>
      </c>
      <c r="B151" t="s">
        <v>1384</v>
      </c>
      <c r="C151">
        <v>0</v>
      </c>
      <c r="D151">
        <v>0</v>
      </c>
      <c r="E151">
        <v>19.8</v>
      </c>
      <c r="F151">
        <v>5.38</v>
      </c>
      <c r="G151">
        <v>0</v>
      </c>
      <c r="H151">
        <v>1</v>
      </c>
      <c r="I151" cm="1">
        <f t="array" aca="1" ref="I151" ca="1">A76:I1510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29A0F-D537-478F-927B-E569CE6E97DD}">
  <dimension ref="A1:D151"/>
  <sheetViews>
    <sheetView topLeftCell="A126" workbookViewId="0">
      <selection activeCell="C137" sqref="C137"/>
    </sheetView>
  </sheetViews>
  <sheetFormatPr defaultRowHeight="14.25" x14ac:dyDescent="0.45"/>
  <cols>
    <col min="2" max="2" width="17.59765625" customWidth="1"/>
    <col min="3" max="3" width="16.265625" customWidth="1"/>
  </cols>
  <sheetData>
    <row r="1" spans="1:4" x14ac:dyDescent="0.45">
      <c r="A1" t="s">
        <v>1282</v>
      </c>
      <c r="B1" t="s">
        <v>1283</v>
      </c>
      <c r="C1" t="s">
        <v>1284</v>
      </c>
      <c r="D1" t="s">
        <v>1285</v>
      </c>
    </row>
    <row r="2" spans="1:4" x14ac:dyDescent="0.45">
      <c r="A2" t="s">
        <v>297</v>
      </c>
      <c r="B2">
        <v>0</v>
      </c>
      <c r="C2">
        <v>1</v>
      </c>
      <c r="D2" t="b">
        <v>0</v>
      </c>
    </row>
    <row r="3" spans="1:4" x14ac:dyDescent="0.45">
      <c r="A3" t="s">
        <v>303</v>
      </c>
      <c r="B3">
        <v>0</v>
      </c>
      <c r="C3">
        <v>1</v>
      </c>
      <c r="D3" t="b">
        <v>0</v>
      </c>
    </row>
    <row r="4" spans="1:4" x14ac:dyDescent="0.45">
      <c r="A4" t="s">
        <v>259</v>
      </c>
      <c r="B4">
        <v>0</v>
      </c>
      <c r="C4">
        <v>0</v>
      </c>
      <c r="D4" t="b">
        <v>1</v>
      </c>
    </row>
    <row r="5" spans="1:4" x14ac:dyDescent="0.45">
      <c r="A5" t="s">
        <v>248</v>
      </c>
      <c r="B5">
        <v>0</v>
      </c>
      <c r="C5">
        <v>0</v>
      </c>
      <c r="D5" t="b">
        <v>1</v>
      </c>
    </row>
    <row r="6" spans="1:4" x14ac:dyDescent="0.45">
      <c r="A6" t="s">
        <v>300</v>
      </c>
      <c r="B6">
        <v>0</v>
      </c>
      <c r="C6">
        <v>1</v>
      </c>
      <c r="D6" t="b">
        <v>0</v>
      </c>
    </row>
    <row r="7" spans="1:4" x14ac:dyDescent="0.45">
      <c r="A7" t="s">
        <v>190</v>
      </c>
      <c r="B7">
        <v>0</v>
      </c>
      <c r="C7">
        <v>0</v>
      </c>
      <c r="D7" t="b">
        <v>1</v>
      </c>
    </row>
    <row r="8" spans="1:4" x14ac:dyDescent="0.45">
      <c r="A8" t="s">
        <v>252</v>
      </c>
      <c r="B8">
        <v>0</v>
      </c>
      <c r="C8">
        <v>0</v>
      </c>
      <c r="D8" t="b">
        <v>1</v>
      </c>
    </row>
    <row r="9" spans="1:4" x14ac:dyDescent="0.45">
      <c r="A9" t="s">
        <v>207</v>
      </c>
      <c r="B9">
        <v>0</v>
      </c>
      <c r="C9">
        <v>0</v>
      </c>
      <c r="D9" t="b">
        <v>1</v>
      </c>
    </row>
    <row r="10" spans="1:4" x14ac:dyDescent="0.45">
      <c r="A10" t="s">
        <v>175</v>
      </c>
      <c r="B10">
        <v>0</v>
      </c>
      <c r="C10">
        <v>1</v>
      </c>
      <c r="D10" t="b">
        <v>0</v>
      </c>
    </row>
    <row r="11" spans="1:4" x14ac:dyDescent="0.45">
      <c r="A11" t="s">
        <v>275</v>
      </c>
      <c r="B11">
        <v>0</v>
      </c>
      <c r="C11">
        <v>1</v>
      </c>
      <c r="D11" t="b">
        <v>0</v>
      </c>
    </row>
    <row r="12" spans="1:4" x14ac:dyDescent="0.45">
      <c r="A12" t="s">
        <v>212</v>
      </c>
      <c r="B12">
        <v>0</v>
      </c>
      <c r="C12">
        <v>1</v>
      </c>
      <c r="D12" t="b">
        <v>0</v>
      </c>
    </row>
    <row r="13" spans="1:4" x14ac:dyDescent="0.45">
      <c r="A13" t="s">
        <v>289</v>
      </c>
      <c r="B13">
        <v>0</v>
      </c>
      <c r="C13">
        <v>1</v>
      </c>
      <c r="D13" t="b">
        <v>0</v>
      </c>
    </row>
    <row r="14" spans="1:4" x14ac:dyDescent="0.45">
      <c r="A14" t="s">
        <v>203</v>
      </c>
      <c r="B14">
        <v>0</v>
      </c>
      <c r="C14">
        <v>1</v>
      </c>
      <c r="D14" t="b">
        <v>0</v>
      </c>
    </row>
    <row r="15" spans="1:4" x14ac:dyDescent="0.45">
      <c r="A15" t="s">
        <v>234</v>
      </c>
      <c r="B15">
        <v>0</v>
      </c>
      <c r="C15">
        <v>1</v>
      </c>
      <c r="D15" t="b">
        <v>0</v>
      </c>
    </row>
    <row r="16" spans="1:4" x14ac:dyDescent="0.45">
      <c r="A16" t="s">
        <v>270</v>
      </c>
      <c r="B16">
        <v>0</v>
      </c>
      <c r="C16">
        <v>0</v>
      </c>
      <c r="D16" t="b">
        <v>1</v>
      </c>
    </row>
    <row r="17" spans="1:4" x14ac:dyDescent="0.45">
      <c r="A17" t="s">
        <v>273</v>
      </c>
      <c r="B17">
        <v>0</v>
      </c>
      <c r="C17">
        <v>0</v>
      </c>
      <c r="D17" t="b">
        <v>1</v>
      </c>
    </row>
    <row r="18" spans="1:4" x14ac:dyDescent="0.45">
      <c r="A18" t="s">
        <v>287</v>
      </c>
      <c r="B18">
        <v>0</v>
      </c>
      <c r="C18">
        <v>0</v>
      </c>
      <c r="D18" t="b">
        <v>1</v>
      </c>
    </row>
    <row r="19" spans="1:4" x14ac:dyDescent="0.45">
      <c r="A19" t="s">
        <v>307</v>
      </c>
      <c r="B19">
        <v>0</v>
      </c>
      <c r="C19">
        <v>1</v>
      </c>
      <c r="D19" t="b">
        <v>0</v>
      </c>
    </row>
    <row r="20" spans="1:4" x14ac:dyDescent="0.45">
      <c r="A20" t="s">
        <v>166</v>
      </c>
      <c r="B20">
        <v>0</v>
      </c>
      <c r="C20">
        <v>0</v>
      </c>
      <c r="D20" t="b">
        <v>1</v>
      </c>
    </row>
    <row r="21" spans="1:4" x14ac:dyDescent="0.45">
      <c r="A21" t="s">
        <v>292</v>
      </c>
      <c r="B21">
        <v>0</v>
      </c>
      <c r="C21">
        <v>0</v>
      </c>
      <c r="D21" t="b">
        <v>1</v>
      </c>
    </row>
    <row r="22" spans="1:4" x14ac:dyDescent="0.45">
      <c r="A22" t="s">
        <v>256</v>
      </c>
      <c r="B22">
        <v>0</v>
      </c>
      <c r="C22">
        <v>1</v>
      </c>
      <c r="D22" t="b">
        <v>0</v>
      </c>
    </row>
    <row r="23" spans="1:4" x14ac:dyDescent="0.45">
      <c r="A23" t="s">
        <v>230</v>
      </c>
      <c r="B23">
        <v>0</v>
      </c>
      <c r="C23">
        <v>1</v>
      </c>
      <c r="D23" t="b">
        <v>0</v>
      </c>
    </row>
    <row r="24" spans="1:4" x14ac:dyDescent="0.45">
      <c r="A24" t="s">
        <v>233</v>
      </c>
      <c r="B24">
        <v>0</v>
      </c>
      <c r="C24">
        <v>0</v>
      </c>
      <c r="D24" t="b">
        <v>1</v>
      </c>
    </row>
    <row r="25" spans="1:4" x14ac:dyDescent="0.45">
      <c r="A25" t="s">
        <v>313</v>
      </c>
      <c r="B25">
        <v>0</v>
      </c>
      <c r="C25">
        <v>0</v>
      </c>
      <c r="D25" t="b">
        <v>1</v>
      </c>
    </row>
    <row r="26" spans="1:4" x14ac:dyDescent="0.45">
      <c r="A26" t="s">
        <v>229</v>
      </c>
      <c r="B26">
        <v>0</v>
      </c>
      <c r="C26">
        <v>0</v>
      </c>
      <c r="D26" t="b">
        <v>1</v>
      </c>
    </row>
    <row r="27" spans="1:4" x14ac:dyDescent="0.45">
      <c r="A27" t="s">
        <v>314</v>
      </c>
      <c r="B27">
        <v>0</v>
      </c>
      <c r="C27">
        <v>0</v>
      </c>
      <c r="D27" t="b">
        <v>1</v>
      </c>
    </row>
    <row r="28" spans="1:4" x14ac:dyDescent="0.45">
      <c r="A28" t="s">
        <v>238</v>
      </c>
      <c r="B28">
        <v>0</v>
      </c>
      <c r="C28">
        <v>0</v>
      </c>
      <c r="D28" t="b">
        <v>1</v>
      </c>
    </row>
    <row r="29" spans="1:4" x14ac:dyDescent="0.45">
      <c r="A29" t="s">
        <v>301</v>
      </c>
      <c r="B29">
        <v>0</v>
      </c>
      <c r="C29">
        <v>1</v>
      </c>
      <c r="D29" t="b">
        <v>0</v>
      </c>
    </row>
    <row r="30" spans="1:4" x14ac:dyDescent="0.45">
      <c r="A30" t="s">
        <v>194</v>
      </c>
      <c r="B30">
        <v>0</v>
      </c>
      <c r="C30">
        <v>0</v>
      </c>
      <c r="D30" t="b">
        <v>1</v>
      </c>
    </row>
    <row r="31" spans="1:4" x14ac:dyDescent="0.45">
      <c r="A31" t="s">
        <v>157</v>
      </c>
      <c r="B31">
        <v>0</v>
      </c>
      <c r="C31">
        <v>0</v>
      </c>
      <c r="D31" t="b">
        <v>1</v>
      </c>
    </row>
    <row r="32" spans="1:4" x14ac:dyDescent="0.45">
      <c r="A32" t="s">
        <v>245</v>
      </c>
      <c r="B32">
        <v>0</v>
      </c>
      <c r="C32">
        <v>0</v>
      </c>
      <c r="D32" t="b">
        <v>1</v>
      </c>
    </row>
    <row r="33" spans="1:4" x14ac:dyDescent="0.45">
      <c r="A33" t="s">
        <v>246</v>
      </c>
      <c r="B33">
        <v>0</v>
      </c>
      <c r="C33">
        <v>0</v>
      </c>
      <c r="D33" t="b">
        <v>1</v>
      </c>
    </row>
    <row r="34" spans="1:4" x14ac:dyDescent="0.45">
      <c r="A34" t="s">
        <v>224</v>
      </c>
      <c r="B34">
        <v>0</v>
      </c>
      <c r="C34">
        <v>0</v>
      </c>
      <c r="D34" t="b">
        <v>1</v>
      </c>
    </row>
    <row r="35" spans="1:4" x14ac:dyDescent="0.45">
      <c r="A35" t="s">
        <v>290</v>
      </c>
      <c r="B35">
        <v>0</v>
      </c>
      <c r="C35">
        <v>0</v>
      </c>
      <c r="D35" t="b">
        <v>1</v>
      </c>
    </row>
    <row r="36" spans="1:4" x14ac:dyDescent="0.45">
      <c r="A36" t="s">
        <v>283</v>
      </c>
      <c r="B36">
        <v>0</v>
      </c>
      <c r="C36">
        <v>0</v>
      </c>
      <c r="D36" t="b">
        <v>1</v>
      </c>
    </row>
    <row r="37" spans="1:4" x14ac:dyDescent="0.45">
      <c r="A37" t="s">
        <v>305</v>
      </c>
      <c r="B37">
        <v>0</v>
      </c>
      <c r="C37">
        <v>1</v>
      </c>
      <c r="D37" t="b">
        <v>0</v>
      </c>
    </row>
    <row r="38" spans="1:4" x14ac:dyDescent="0.45">
      <c r="A38" t="s">
        <v>306</v>
      </c>
      <c r="B38">
        <v>0</v>
      </c>
      <c r="C38">
        <v>0</v>
      </c>
      <c r="D38" t="b">
        <v>1</v>
      </c>
    </row>
    <row r="39" spans="1:4" x14ac:dyDescent="0.45">
      <c r="A39" t="s">
        <v>213</v>
      </c>
      <c r="B39">
        <v>0</v>
      </c>
      <c r="C39">
        <v>0</v>
      </c>
      <c r="D39" t="b">
        <v>1</v>
      </c>
    </row>
    <row r="40" spans="1:4" x14ac:dyDescent="0.45">
      <c r="A40" t="s">
        <v>231</v>
      </c>
      <c r="B40">
        <v>0</v>
      </c>
      <c r="C40">
        <v>0</v>
      </c>
      <c r="D40" t="b">
        <v>1</v>
      </c>
    </row>
    <row r="41" spans="1:4" x14ac:dyDescent="0.45">
      <c r="A41" t="s">
        <v>191</v>
      </c>
      <c r="B41">
        <v>1</v>
      </c>
      <c r="C41">
        <v>0</v>
      </c>
      <c r="D41" t="b">
        <v>0</v>
      </c>
    </row>
    <row r="42" spans="1:4" x14ac:dyDescent="0.45">
      <c r="A42" t="s">
        <v>164</v>
      </c>
      <c r="B42">
        <v>0</v>
      </c>
      <c r="C42">
        <v>0</v>
      </c>
      <c r="D42" t="b">
        <v>1</v>
      </c>
    </row>
    <row r="43" spans="1:4" x14ac:dyDescent="0.45">
      <c r="A43" t="s">
        <v>222</v>
      </c>
      <c r="B43">
        <v>0</v>
      </c>
      <c r="C43">
        <v>0</v>
      </c>
      <c r="D43" t="b">
        <v>1</v>
      </c>
    </row>
    <row r="44" spans="1:4" x14ac:dyDescent="0.45">
      <c r="A44" t="s">
        <v>199</v>
      </c>
      <c r="B44">
        <v>0</v>
      </c>
      <c r="C44">
        <v>0</v>
      </c>
      <c r="D44" t="b">
        <v>1</v>
      </c>
    </row>
    <row r="45" spans="1:4" x14ac:dyDescent="0.45">
      <c r="A45" t="s">
        <v>276</v>
      </c>
      <c r="B45">
        <v>1</v>
      </c>
      <c r="C45">
        <v>0</v>
      </c>
      <c r="D45" t="b">
        <v>0</v>
      </c>
    </row>
    <row r="46" spans="1:4" x14ac:dyDescent="0.45">
      <c r="A46" t="s">
        <v>232</v>
      </c>
      <c r="B46">
        <v>0</v>
      </c>
      <c r="C46">
        <v>0</v>
      </c>
      <c r="D46" t="b">
        <v>1</v>
      </c>
    </row>
    <row r="47" spans="1:4" x14ac:dyDescent="0.45">
      <c r="A47" t="s">
        <v>193</v>
      </c>
      <c r="B47">
        <v>0</v>
      </c>
      <c r="C47">
        <v>0</v>
      </c>
      <c r="D47" t="b">
        <v>1</v>
      </c>
    </row>
    <row r="48" spans="1:4" x14ac:dyDescent="0.45">
      <c r="A48" t="s">
        <v>243</v>
      </c>
      <c r="B48">
        <v>0</v>
      </c>
      <c r="C48">
        <v>0</v>
      </c>
      <c r="D48" t="b">
        <v>1</v>
      </c>
    </row>
    <row r="49" spans="1:4" x14ac:dyDescent="0.45">
      <c r="A49" t="s">
        <v>308</v>
      </c>
      <c r="B49">
        <v>0</v>
      </c>
      <c r="C49">
        <v>0</v>
      </c>
      <c r="D49" t="b">
        <v>1</v>
      </c>
    </row>
    <row r="50" spans="1:4" x14ac:dyDescent="0.45">
      <c r="A50" t="s">
        <v>200</v>
      </c>
      <c r="B50">
        <v>0</v>
      </c>
      <c r="C50">
        <v>1</v>
      </c>
      <c r="D50" t="b">
        <v>0</v>
      </c>
    </row>
    <row r="51" spans="1:4" x14ac:dyDescent="0.45">
      <c r="A51" t="s">
        <v>202</v>
      </c>
      <c r="B51">
        <v>0</v>
      </c>
      <c r="C51">
        <v>1</v>
      </c>
      <c r="D51" t="b">
        <v>0</v>
      </c>
    </row>
    <row r="52" spans="1:4" x14ac:dyDescent="0.45">
      <c r="A52" t="s">
        <v>239</v>
      </c>
      <c r="B52">
        <v>0</v>
      </c>
      <c r="C52">
        <v>0</v>
      </c>
      <c r="D52" t="b">
        <v>1</v>
      </c>
    </row>
    <row r="53" spans="1:4" x14ac:dyDescent="0.45">
      <c r="A53" t="s">
        <v>257</v>
      </c>
      <c r="B53">
        <v>0</v>
      </c>
      <c r="C53">
        <v>0</v>
      </c>
      <c r="D53" t="b">
        <v>1</v>
      </c>
    </row>
    <row r="54" spans="1:4" x14ac:dyDescent="0.45">
      <c r="A54" t="s">
        <v>312</v>
      </c>
      <c r="B54">
        <v>0</v>
      </c>
      <c r="C54">
        <v>0</v>
      </c>
      <c r="D54" t="b">
        <v>1</v>
      </c>
    </row>
    <row r="55" spans="1:4" x14ac:dyDescent="0.45">
      <c r="A55" t="s">
        <v>210</v>
      </c>
      <c r="B55">
        <v>0</v>
      </c>
      <c r="C55">
        <v>0</v>
      </c>
      <c r="D55" t="b">
        <v>1</v>
      </c>
    </row>
    <row r="56" spans="1:4" x14ac:dyDescent="0.45">
      <c r="A56" t="s">
        <v>214</v>
      </c>
      <c r="B56">
        <v>0</v>
      </c>
      <c r="C56">
        <v>0</v>
      </c>
      <c r="D56" t="b">
        <v>1</v>
      </c>
    </row>
    <row r="57" spans="1:4" x14ac:dyDescent="0.45">
      <c r="A57" t="s">
        <v>206</v>
      </c>
      <c r="B57">
        <v>0</v>
      </c>
      <c r="C57">
        <v>0</v>
      </c>
      <c r="D57" t="b">
        <v>1</v>
      </c>
    </row>
    <row r="58" spans="1:4" x14ac:dyDescent="0.45">
      <c r="A58" t="s">
        <v>174</v>
      </c>
      <c r="B58">
        <v>0</v>
      </c>
      <c r="C58">
        <v>0</v>
      </c>
      <c r="D58" t="b">
        <v>1</v>
      </c>
    </row>
    <row r="59" spans="1:4" x14ac:dyDescent="0.45">
      <c r="A59" t="s">
        <v>302</v>
      </c>
      <c r="B59">
        <v>0</v>
      </c>
      <c r="C59">
        <v>0</v>
      </c>
      <c r="D59" t="b">
        <v>1</v>
      </c>
    </row>
    <row r="60" spans="1:4" x14ac:dyDescent="0.45">
      <c r="A60" t="s">
        <v>178</v>
      </c>
      <c r="B60">
        <v>0</v>
      </c>
      <c r="C60">
        <v>0</v>
      </c>
      <c r="D60" t="b">
        <v>1</v>
      </c>
    </row>
    <row r="61" spans="1:4" x14ac:dyDescent="0.45">
      <c r="A61" t="s">
        <v>304</v>
      </c>
      <c r="B61">
        <v>0</v>
      </c>
      <c r="C61">
        <v>0</v>
      </c>
      <c r="D61" t="b">
        <v>1</v>
      </c>
    </row>
    <row r="62" spans="1:4" x14ac:dyDescent="0.45">
      <c r="A62" t="s">
        <v>204</v>
      </c>
      <c r="B62">
        <v>0</v>
      </c>
      <c r="C62">
        <v>0</v>
      </c>
      <c r="D62" t="b">
        <v>1</v>
      </c>
    </row>
    <row r="63" spans="1:4" x14ac:dyDescent="0.45">
      <c r="A63" t="s">
        <v>223</v>
      </c>
      <c r="B63">
        <v>0</v>
      </c>
      <c r="C63">
        <v>0</v>
      </c>
      <c r="D63" t="b">
        <v>1</v>
      </c>
    </row>
    <row r="64" spans="1:4" x14ac:dyDescent="0.45">
      <c r="A64" t="s">
        <v>277</v>
      </c>
      <c r="B64">
        <v>0</v>
      </c>
      <c r="C64">
        <v>0</v>
      </c>
      <c r="D64" t="b">
        <v>1</v>
      </c>
    </row>
    <row r="65" spans="1:4" x14ac:dyDescent="0.45">
      <c r="A65" t="s">
        <v>294</v>
      </c>
      <c r="B65">
        <v>0</v>
      </c>
      <c r="C65">
        <v>1</v>
      </c>
      <c r="D65" t="b">
        <v>0</v>
      </c>
    </row>
    <row r="66" spans="1:4" x14ac:dyDescent="0.45">
      <c r="A66" t="s">
        <v>258</v>
      </c>
      <c r="B66">
        <v>0</v>
      </c>
      <c r="C66">
        <v>0</v>
      </c>
      <c r="D66" t="b">
        <v>1</v>
      </c>
    </row>
    <row r="67" spans="1:4" x14ac:dyDescent="0.45">
      <c r="A67" t="s">
        <v>182</v>
      </c>
      <c r="B67">
        <v>0</v>
      </c>
      <c r="C67">
        <v>0</v>
      </c>
      <c r="D67" t="b">
        <v>1</v>
      </c>
    </row>
    <row r="68" spans="1:4" x14ac:dyDescent="0.45">
      <c r="A68" t="s">
        <v>288</v>
      </c>
      <c r="B68">
        <v>0</v>
      </c>
      <c r="C68">
        <v>1</v>
      </c>
      <c r="D68" t="b">
        <v>0</v>
      </c>
    </row>
    <row r="69" spans="1:4" x14ac:dyDescent="0.45">
      <c r="A69" t="s">
        <v>221</v>
      </c>
      <c r="B69">
        <v>0</v>
      </c>
      <c r="C69">
        <v>0</v>
      </c>
      <c r="D69" t="b">
        <v>1</v>
      </c>
    </row>
    <row r="70" spans="1:4" x14ac:dyDescent="0.45">
      <c r="A70" t="s">
        <v>159</v>
      </c>
      <c r="B70">
        <v>0</v>
      </c>
      <c r="C70">
        <v>0</v>
      </c>
      <c r="D70" t="b">
        <v>1</v>
      </c>
    </row>
    <row r="71" spans="1:4" x14ac:dyDescent="0.45">
      <c r="A71" t="s">
        <v>220</v>
      </c>
      <c r="B71">
        <v>0</v>
      </c>
      <c r="C71">
        <v>0</v>
      </c>
      <c r="D71" t="b">
        <v>1</v>
      </c>
    </row>
    <row r="72" spans="1:4" x14ac:dyDescent="0.45">
      <c r="A72" t="s">
        <v>177</v>
      </c>
      <c r="B72">
        <v>0</v>
      </c>
      <c r="C72">
        <v>0</v>
      </c>
      <c r="D72" t="b">
        <v>1</v>
      </c>
    </row>
    <row r="73" spans="1:4" x14ac:dyDescent="0.45">
      <c r="A73" t="s">
        <v>195</v>
      </c>
      <c r="B73">
        <v>0</v>
      </c>
      <c r="C73">
        <v>0</v>
      </c>
      <c r="D73" t="b">
        <v>1</v>
      </c>
    </row>
    <row r="74" spans="1:4" x14ac:dyDescent="0.45">
      <c r="A74" t="s">
        <v>227</v>
      </c>
      <c r="B74">
        <v>0</v>
      </c>
      <c r="C74">
        <v>0</v>
      </c>
      <c r="D74" t="b">
        <v>1</v>
      </c>
    </row>
    <row r="75" spans="1:4" x14ac:dyDescent="0.45">
      <c r="A75" t="s">
        <v>225</v>
      </c>
      <c r="B75">
        <v>0</v>
      </c>
      <c r="C75">
        <v>0</v>
      </c>
      <c r="D75" t="b">
        <v>1</v>
      </c>
    </row>
    <row r="76" spans="1:4" x14ac:dyDescent="0.45">
      <c r="A76" t="s">
        <v>251</v>
      </c>
      <c r="B76">
        <v>0</v>
      </c>
      <c r="C76">
        <v>0</v>
      </c>
      <c r="D76" t="b">
        <v>1</v>
      </c>
    </row>
    <row r="77" spans="1:4" x14ac:dyDescent="0.45">
      <c r="A77" t="s">
        <v>171</v>
      </c>
      <c r="B77">
        <v>0</v>
      </c>
      <c r="C77">
        <v>0</v>
      </c>
      <c r="D77" t="b">
        <v>1</v>
      </c>
    </row>
    <row r="78" spans="1:4" x14ac:dyDescent="0.45">
      <c r="A78" t="s">
        <v>211</v>
      </c>
      <c r="B78">
        <v>0</v>
      </c>
      <c r="C78">
        <v>0</v>
      </c>
      <c r="D78" t="b">
        <v>1</v>
      </c>
    </row>
    <row r="79" spans="1:4" x14ac:dyDescent="0.45">
      <c r="A79" t="s">
        <v>311</v>
      </c>
      <c r="B79">
        <v>0</v>
      </c>
      <c r="C79">
        <v>0</v>
      </c>
      <c r="D79" t="b">
        <v>1</v>
      </c>
    </row>
    <row r="80" spans="1:4" x14ac:dyDescent="0.45">
      <c r="A80" t="s">
        <v>158</v>
      </c>
      <c r="B80">
        <v>0</v>
      </c>
      <c r="C80">
        <v>0</v>
      </c>
      <c r="D80" t="b">
        <v>1</v>
      </c>
    </row>
    <row r="81" spans="1:4" x14ac:dyDescent="0.45">
      <c r="A81" t="s">
        <v>192</v>
      </c>
      <c r="B81">
        <v>0</v>
      </c>
      <c r="C81">
        <v>0</v>
      </c>
      <c r="D81" t="b">
        <v>1</v>
      </c>
    </row>
    <row r="82" spans="1:4" x14ac:dyDescent="0.45">
      <c r="A82" t="s">
        <v>161</v>
      </c>
      <c r="B82">
        <v>0</v>
      </c>
      <c r="C82">
        <v>0</v>
      </c>
      <c r="D82" t="b">
        <v>1</v>
      </c>
    </row>
    <row r="83" spans="1:4" x14ac:dyDescent="0.45">
      <c r="A83" t="s">
        <v>265</v>
      </c>
      <c r="B83">
        <v>0</v>
      </c>
      <c r="C83">
        <v>0</v>
      </c>
      <c r="D83" t="b">
        <v>1</v>
      </c>
    </row>
    <row r="84" spans="1:4" x14ac:dyDescent="0.45">
      <c r="A84" t="s">
        <v>165</v>
      </c>
      <c r="B84">
        <v>0</v>
      </c>
      <c r="C84">
        <v>0</v>
      </c>
      <c r="D84" t="b">
        <v>1</v>
      </c>
    </row>
    <row r="85" spans="1:4" x14ac:dyDescent="0.45">
      <c r="A85" t="s">
        <v>215</v>
      </c>
      <c r="B85">
        <v>0</v>
      </c>
      <c r="C85">
        <v>0</v>
      </c>
      <c r="D85" t="b">
        <v>1</v>
      </c>
    </row>
    <row r="86" spans="1:4" x14ac:dyDescent="0.45">
      <c r="A86" t="s">
        <v>186</v>
      </c>
      <c r="B86">
        <v>0</v>
      </c>
      <c r="C86">
        <v>0</v>
      </c>
      <c r="D86" t="b">
        <v>1</v>
      </c>
    </row>
    <row r="87" spans="1:4" x14ac:dyDescent="0.45">
      <c r="A87" t="s">
        <v>235</v>
      </c>
      <c r="B87">
        <v>0</v>
      </c>
      <c r="C87">
        <v>0</v>
      </c>
      <c r="D87" t="b">
        <v>1</v>
      </c>
    </row>
    <row r="88" spans="1:4" x14ac:dyDescent="0.45">
      <c r="A88" t="s">
        <v>170</v>
      </c>
      <c r="B88">
        <v>0</v>
      </c>
      <c r="C88">
        <v>0</v>
      </c>
      <c r="D88" t="b">
        <v>1</v>
      </c>
    </row>
    <row r="89" spans="1:4" x14ac:dyDescent="0.45">
      <c r="A89" t="s">
        <v>198</v>
      </c>
      <c r="B89">
        <v>0</v>
      </c>
      <c r="C89">
        <v>0</v>
      </c>
      <c r="D89" t="b">
        <v>1</v>
      </c>
    </row>
    <row r="90" spans="1:4" x14ac:dyDescent="0.45">
      <c r="A90" t="s">
        <v>169</v>
      </c>
      <c r="B90">
        <v>0</v>
      </c>
      <c r="C90">
        <v>0</v>
      </c>
      <c r="D90" t="b">
        <v>1</v>
      </c>
    </row>
    <row r="91" spans="1:4" x14ac:dyDescent="0.45">
      <c r="A91" t="s">
        <v>269</v>
      </c>
      <c r="B91">
        <v>0</v>
      </c>
      <c r="C91">
        <v>0</v>
      </c>
      <c r="D91" t="b">
        <v>1</v>
      </c>
    </row>
    <row r="92" spans="1:4" x14ac:dyDescent="0.45">
      <c r="A92" t="s">
        <v>250</v>
      </c>
      <c r="B92">
        <v>0</v>
      </c>
      <c r="C92">
        <v>0</v>
      </c>
      <c r="D92" t="b">
        <v>1</v>
      </c>
    </row>
    <row r="93" spans="1:4" x14ac:dyDescent="0.45">
      <c r="A93" t="s">
        <v>255</v>
      </c>
      <c r="B93">
        <v>0</v>
      </c>
      <c r="C93">
        <v>1</v>
      </c>
      <c r="D93" t="b">
        <v>0</v>
      </c>
    </row>
    <row r="94" spans="1:4" x14ac:dyDescent="0.45">
      <c r="A94" t="s">
        <v>299</v>
      </c>
      <c r="B94">
        <v>0</v>
      </c>
      <c r="C94">
        <v>0</v>
      </c>
      <c r="D94" t="b">
        <v>1</v>
      </c>
    </row>
    <row r="95" spans="1:4" x14ac:dyDescent="0.45">
      <c r="A95" t="s">
        <v>278</v>
      </c>
      <c r="B95">
        <v>0</v>
      </c>
      <c r="C95">
        <v>0</v>
      </c>
      <c r="D95" t="b">
        <v>1</v>
      </c>
    </row>
    <row r="96" spans="1:4" x14ac:dyDescent="0.45">
      <c r="A96" t="s">
        <v>282</v>
      </c>
      <c r="B96">
        <v>0</v>
      </c>
      <c r="C96">
        <v>0</v>
      </c>
      <c r="D96" t="b">
        <v>1</v>
      </c>
    </row>
    <row r="97" spans="1:4" x14ac:dyDescent="0.45">
      <c r="A97" t="s">
        <v>387</v>
      </c>
      <c r="B97">
        <v>0</v>
      </c>
      <c r="C97">
        <v>1</v>
      </c>
      <c r="D97" t="b">
        <v>0</v>
      </c>
    </row>
    <row r="98" spans="1:4" x14ac:dyDescent="0.45">
      <c r="A98" t="s">
        <v>184</v>
      </c>
      <c r="B98">
        <v>0</v>
      </c>
      <c r="C98">
        <v>0</v>
      </c>
      <c r="D98" t="b">
        <v>1</v>
      </c>
    </row>
    <row r="99" spans="1:4" x14ac:dyDescent="0.45">
      <c r="A99" t="s">
        <v>240</v>
      </c>
      <c r="B99">
        <v>0</v>
      </c>
      <c r="C99">
        <v>0</v>
      </c>
      <c r="D99" t="b">
        <v>1</v>
      </c>
    </row>
    <row r="100" spans="1:4" x14ac:dyDescent="0.45">
      <c r="A100" t="s">
        <v>188</v>
      </c>
      <c r="B100">
        <v>0</v>
      </c>
      <c r="C100">
        <v>0</v>
      </c>
      <c r="D100" t="b">
        <v>1</v>
      </c>
    </row>
    <row r="101" spans="1:4" x14ac:dyDescent="0.45">
      <c r="A101" t="s">
        <v>281</v>
      </c>
      <c r="B101">
        <v>0</v>
      </c>
      <c r="C101">
        <v>1</v>
      </c>
      <c r="D101" t="b">
        <v>0</v>
      </c>
    </row>
    <row r="102" spans="1:4" x14ac:dyDescent="0.45">
      <c r="A102" t="s">
        <v>310</v>
      </c>
      <c r="B102">
        <v>0</v>
      </c>
      <c r="C102">
        <v>0</v>
      </c>
      <c r="D102" t="b">
        <v>1</v>
      </c>
    </row>
    <row r="103" spans="1:4" x14ac:dyDescent="0.45">
      <c r="A103" t="s">
        <v>247</v>
      </c>
      <c r="B103">
        <v>0</v>
      </c>
      <c r="C103">
        <v>0</v>
      </c>
      <c r="D103" t="b">
        <v>1</v>
      </c>
    </row>
    <row r="104" spans="1:4" x14ac:dyDescent="0.45">
      <c r="A104" t="s">
        <v>267</v>
      </c>
      <c r="B104">
        <v>0</v>
      </c>
      <c r="C104">
        <v>0</v>
      </c>
      <c r="D104" t="b">
        <v>1</v>
      </c>
    </row>
    <row r="105" spans="1:4" x14ac:dyDescent="0.45">
      <c r="A105" t="s">
        <v>172</v>
      </c>
      <c r="B105">
        <v>0</v>
      </c>
      <c r="C105">
        <v>0</v>
      </c>
      <c r="D105" t="b">
        <v>1</v>
      </c>
    </row>
    <row r="106" spans="1:4" x14ac:dyDescent="0.45">
      <c r="A106" t="s">
        <v>242</v>
      </c>
      <c r="B106">
        <v>0</v>
      </c>
      <c r="C106">
        <v>0</v>
      </c>
      <c r="D106" t="b">
        <v>1</v>
      </c>
    </row>
    <row r="107" spans="1:4" x14ac:dyDescent="0.45">
      <c r="A107" t="s">
        <v>293</v>
      </c>
      <c r="B107">
        <v>0</v>
      </c>
      <c r="C107">
        <v>0</v>
      </c>
      <c r="D107" t="b">
        <v>1</v>
      </c>
    </row>
    <row r="108" spans="1:4" x14ac:dyDescent="0.45">
      <c r="A108" t="s">
        <v>263</v>
      </c>
      <c r="B108">
        <v>0</v>
      </c>
      <c r="C108">
        <v>1</v>
      </c>
      <c r="D108" t="b">
        <v>0</v>
      </c>
    </row>
    <row r="109" spans="1:4" x14ac:dyDescent="0.45">
      <c r="A109" t="s">
        <v>163</v>
      </c>
      <c r="B109">
        <v>0</v>
      </c>
      <c r="C109">
        <v>0</v>
      </c>
      <c r="D109" t="b">
        <v>1</v>
      </c>
    </row>
    <row r="110" spans="1:4" x14ac:dyDescent="0.45">
      <c r="A110" t="s">
        <v>236</v>
      </c>
      <c r="B110">
        <v>0</v>
      </c>
      <c r="C110">
        <v>0</v>
      </c>
      <c r="D110" t="b">
        <v>1</v>
      </c>
    </row>
    <row r="111" spans="1:4" x14ac:dyDescent="0.45">
      <c r="A111" t="s">
        <v>209</v>
      </c>
      <c r="B111">
        <v>0</v>
      </c>
      <c r="C111">
        <v>0</v>
      </c>
      <c r="D111" t="b">
        <v>1</v>
      </c>
    </row>
    <row r="112" spans="1:4" x14ac:dyDescent="0.45">
      <c r="A112" t="s">
        <v>264</v>
      </c>
      <c r="B112">
        <v>0</v>
      </c>
      <c r="C112">
        <v>1</v>
      </c>
      <c r="D112" t="b">
        <v>0</v>
      </c>
    </row>
    <row r="113" spans="1:4" x14ac:dyDescent="0.45">
      <c r="A113" t="s">
        <v>272</v>
      </c>
      <c r="B113">
        <v>0</v>
      </c>
      <c r="C113">
        <v>1</v>
      </c>
      <c r="D113" t="b">
        <v>0</v>
      </c>
    </row>
    <row r="114" spans="1:4" x14ac:dyDescent="0.45">
      <c r="A114" t="s">
        <v>268</v>
      </c>
      <c r="B114">
        <v>0</v>
      </c>
      <c r="C114">
        <v>0</v>
      </c>
      <c r="D114" t="b">
        <v>1</v>
      </c>
    </row>
    <row r="115" spans="1:4" x14ac:dyDescent="0.45">
      <c r="A115" t="s">
        <v>274</v>
      </c>
      <c r="B115">
        <v>0</v>
      </c>
      <c r="C115">
        <v>0</v>
      </c>
      <c r="D115" t="b">
        <v>1</v>
      </c>
    </row>
    <row r="116" spans="1:4" x14ac:dyDescent="0.45">
      <c r="A116" t="s">
        <v>183</v>
      </c>
      <c r="B116">
        <v>0</v>
      </c>
      <c r="C116">
        <v>0</v>
      </c>
      <c r="D116" t="b">
        <v>1</v>
      </c>
    </row>
    <row r="117" spans="1:4" x14ac:dyDescent="0.45">
      <c r="A117" t="s">
        <v>217</v>
      </c>
      <c r="B117">
        <v>0</v>
      </c>
      <c r="C117">
        <v>0</v>
      </c>
      <c r="D117" t="b">
        <v>1</v>
      </c>
    </row>
    <row r="118" spans="1:4" x14ac:dyDescent="0.45">
      <c r="A118" t="s">
        <v>167</v>
      </c>
      <c r="B118">
        <v>0</v>
      </c>
      <c r="C118">
        <v>0</v>
      </c>
      <c r="D118" t="b">
        <v>1</v>
      </c>
    </row>
    <row r="119" spans="1:4" x14ac:dyDescent="0.45">
      <c r="A119" t="s">
        <v>298</v>
      </c>
      <c r="B119">
        <v>1</v>
      </c>
      <c r="C119">
        <v>1</v>
      </c>
      <c r="D119" t="b">
        <v>1</v>
      </c>
    </row>
    <row r="120" spans="1:4" x14ac:dyDescent="0.45">
      <c r="A120" t="s">
        <v>262</v>
      </c>
      <c r="B120">
        <v>0</v>
      </c>
      <c r="C120">
        <v>0</v>
      </c>
      <c r="D120" t="b">
        <v>1</v>
      </c>
    </row>
    <row r="121" spans="1:4" x14ac:dyDescent="0.45">
      <c r="A121" t="s">
        <v>226</v>
      </c>
      <c r="B121">
        <v>0</v>
      </c>
      <c r="C121">
        <v>0</v>
      </c>
      <c r="D121" t="b">
        <v>1</v>
      </c>
    </row>
    <row r="122" spans="1:4" x14ac:dyDescent="0.45">
      <c r="A122" t="s">
        <v>162</v>
      </c>
      <c r="B122">
        <v>1</v>
      </c>
      <c r="C122">
        <v>0</v>
      </c>
      <c r="D122" t="b">
        <v>0</v>
      </c>
    </row>
    <row r="123" spans="1:4" x14ac:dyDescent="0.45">
      <c r="A123" t="s">
        <v>295</v>
      </c>
      <c r="B123">
        <v>0</v>
      </c>
      <c r="C123">
        <v>0</v>
      </c>
      <c r="D123" t="b">
        <v>1</v>
      </c>
    </row>
    <row r="124" spans="1:4" x14ac:dyDescent="0.45">
      <c r="A124" t="s">
        <v>196</v>
      </c>
      <c r="B124">
        <v>0</v>
      </c>
      <c r="C124">
        <v>0</v>
      </c>
      <c r="D124" t="b">
        <v>1</v>
      </c>
    </row>
    <row r="125" spans="1:4" x14ac:dyDescent="0.45">
      <c r="A125" t="s">
        <v>187</v>
      </c>
      <c r="B125">
        <v>0</v>
      </c>
      <c r="C125">
        <v>0</v>
      </c>
      <c r="D125" t="b">
        <v>1</v>
      </c>
    </row>
    <row r="126" spans="1:4" x14ac:dyDescent="0.45">
      <c r="A126" t="s">
        <v>208</v>
      </c>
      <c r="B126">
        <v>0</v>
      </c>
      <c r="C126">
        <v>0</v>
      </c>
      <c r="D126" t="b">
        <v>1</v>
      </c>
    </row>
    <row r="127" spans="1:4" x14ac:dyDescent="0.45">
      <c r="A127" t="s">
        <v>228</v>
      </c>
      <c r="B127">
        <v>0</v>
      </c>
      <c r="C127">
        <v>0</v>
      </c>
      <c r="D127" t="b">
        <v>1</v>
      </c>
    </row>
    <row r="128" spans="1:4" x14ac:dyDescent="0.45">
      <c r="A128" t="s">
        <v>253</v>
      </c>
      <c r="B128">
        <v>0</v>
      </c>
      <c r="C128">
        <v>0</v>
      </c>
      <c r="D128" t="b">
        <v>1</v>
      </c>
    </row>
    <row r="129" spans="1:4" x14ac:dyDescent="0.45">
      <c r="A129" t="s">
        <v>241</v>
      </c>
      <c r="B129">
        <v>0</v>
      </c>
      <c r="C129">
        <v>0</v>
      </c>
      <c r="D129" t="b">
        <v>1</v>
      </c>
    </row>
    <row r="130" spans="1:4" x14ac:dyDescent="0.45">
      <c r="A130" t="s">
        <v>176</v>
      </c>
      <c r="B130">
        <v>0</v>
      </c>
      <c r="C130">
        <v>0</v>
      </c>
      <c r="D130" t="b">
        <v>1</v>
      </c>
    </row>
    <row r="131" spans="1:4" x14ac:dyDescent="0.45">
      <c r="A131" t="s">
        <v>160</v>
      </c>
      <c r="B131">
        <v>0</v>
      </c>
      <c r="C131">
        <v>0</v>
      </c>
      <c r="D131" t="b">
        <v>1</v>
      </c>
    </row>
    <row r="132" spans="1:4" x14ac:dyDescent="0.45">
      <c r="A132" t="s">
        <v>201</v>
      </c>
      <c r="B132">
        <v>0</v>
      </c>
      <c r="C132">
        <v>0</v>
      </c>
      <c r="D132" t="b">
        <v>1</v>
      </c>
    </row>
    <row r="133" spans="1:4" x14ac:dyDescent="0.45">
      <c r="A133" t="s">
        <v>179</v>
      </c>
      <c r="B133">
        <v>0</v>
      </c>
      <c r="C133">
        <v>0</v>
      </c>
      <c r="D133" t="b">
        <v>1</v>
      </c>
    </row>
    <row r="134" spans="1:4" x14ac:dyDescent="0.45">
      <c r="A134" t="s">
        <v>197</v>
      </c>
      <c r="B134">
        <v>0</v>
      </c>
      <c r="C134">
        <v>0</v>
      </c>
      <c r="D134" t="b">
        <v>1</v>
      </c>
    </row>
    <row r="135" spans="1:4" x14ac:dyDescent="0.45">
      <c r="A135" t="s">
        <v>244</v>
      </c>
      <c r="B135">
        <v>1</v>
      </c>
      <c r="C135">
        <v>0</v>
      </c>
      <c r="D135" t="b">
        <v>0</v>
      </c>
    </row>
    <row r="136" spans="1:4" x14ac:dyDescent="0.45">
      <c r="A136" t="s">
        <v>260</v>
      </c>
      <c r="B136">
        <v>0</v>
      </c>
      <c r="C136">
        <v>0</v>
      </c>
      <c r="D136" t="b">
        <v>1</v>
      </c>
    </row>
    <row r="137" spans="1:4" x14ac:dyDescent="0.45">
      <c r="A137" t="s">
        <v>271</v>
      </c>
      <c r="B137">
        <v>0</v>
      </c>
      <c r="C137">
        <v>1</v>
      </c>
      <c r="D137" t="b">
        <v>0</v>
      </c>
    </row>
    <row r="138" spans="1:4" x14ac:dyDescent="0.45">
      <c r="A138" t="s">
        <v>261</v>
      </c>
      <c r="B138">
        <v>0</v>
      </c>
      <c r="C138">
        <v>0</v>
      </c>
      <c r="D138" t="b">
        <v>1</v>
      </c>
    </row>
    <row r="139" spans="1:4" x14ac:dyDescent="0.45">
      <c r="A139" t="s">
        <v>280</v>
      </c>
      <c r="B139">
        <v>0</v>
      </c>
      <c r="C139">
        <v>0</v>
      </c>
      <c r="D139" t="b">
        <v>1</v>
      </c>
    </row>
    <row r="140" spans="1:4" x14ac:dyDescent="0.45">
      <c r="A140" t="s">
        <v>185</v>
      </c>
      <c r="B140">
        <v>0</v>
      </c>
      <c r="C140">
        <v>0</v>
      </c>
      <c r="D140" t="b">
        <v>1</v>
      </c>
    </row>
    <row r="141" spans="1:4" x14ac:dyDescent="0.45">
      <c r="A141" t="s">
        <v>296</v>
      </c>
      <c r="B141">
        <v>2</v>
      </c>
      <c r="C141">
        <v>0</v>
      </c>
      <c r="D141" t="b">
        <v>0</v>
      </c>
    </row>
    <row r="142" spans="1:4" x14ac:dyDescent="0.45">
      <c r="A142" t="s">
        <v>218</v>
      </c>
      <c r="B142">
        <v>0</v>
      </c>
      <c r="C142">
        <v>0</v>
      </c>
      <c r="D142" t="b">
        <v>1</v>
      </c>
    </row>
    <row r="143" spans="1:4" x14ac:dyDescent="0.45">
      <c r="A143" t="s">
        <v>216</v>
      </c>
      <c r="B143">
        <v>1</v>
      </c>
      <c r="C143">
        <v>0</v>
      </c>
      <c r="D143" t="b">
        <v>0</v>
      </c>
    </row>
    <row r="144" spans="1:4" x14ac:dyDescent="0.45">
      <c r="A144" t="s">
        <v>285</v>
      </c>
      <c r="B144">
        <v>0</v>
      </c>
      <c r="C144">
        <v>0</v>
      </c>
      <c r="D144" t="b">
        <v>1</v>
      </c>
    </row>
    <row r="145" spans="1:4" x14ac:dyDescent="0.45">
      <c r="A145" t="s">
        <v>205</v>
      </c>
      <c r="B145">
        <v>0</v>
      </c>
      <c r="C145">
        <v>0</v>
      </c>
      <c r="D145" t="b">
        <v>1</v>
      </c>
    </row>
    <row r="146" spans="1:4" x14ac:dyDescent="0.45">
      <c r="A146" t="s">
        <v>180</v>
      </c>
      <c r="B146">
        <v>0</v>
      </c>
      <c r="C146">
        <v>0</v>
      </c>
      <c r="D146" t="b">
        <v>1</v>
      </c>
    </row>
    <row r="147" spans="1:4" x14ac:dyDescent="0.45">
      <c r="A147" t="s">
        <v>291</v>
      </c>
      <c r="B147">
        <v>1</v>
      </c>
      <c r="C147">
        <v>0</v>
      </c>
      <c r="D147" t="b">
        <v>0</v>
      </c>
    </row>
    <row r="148" spans="1:4" x14ac:dyDescent="0.45">
      <c r="A148" t="s">
        <v>254</v>
      </c>
      <c r="B148">
        <v>0</v>
      </c>
      <c r="C148">
        <v>0</v>
      </c>
      <c r="D148" t="b">
        <v>1</v>
      </c>
    </row>
    <row r="149" spans="1:4" x14ac:dyDescent="0.45">
      <c r="A149" t="s">
        <v>286</v>
      </c>
      <c r="B149">
        <v>0</v>
      </c>
      <c r="C149">
        <v>1</v>
      </c>
      <c r="D149" t="b">
        <v>0</v>
      </c>
    </row>
    <row r="150" spans="1:4" x14ac:dyDescent="0.45">
      <c r="A150" t="s">
        <v>237</v>
      </c>
      <c r="B150">
        <v>0</v>
      </c>
      <c r="C150">
        <v>0</v>
      </c>
      <c r="D150" t="b">
        <v>1</v>
      </c>
    </row>
    <row r="151" spans="1:4" x14ac:dyDescent="0.45">
      <c r="A151" t="s">
        <v>284</v>
      </c>
      <c r="B151">
        <v>0</v>
      </c>
      <c r="C151">
        <v>0</v>
      </c>
      <c r="D151" t="b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9BC3-3523-456E-A4F3-348A0C2F3203}">
  <dimension ref="A1:C13"/>
  <sheetViews>
    <sheetView workbookViewId="0">
      <selection activeCell="C20" sqref="C20"/>
    </sheetView>
  </sheetViews>
  <sheetFormatPr defaultRowHeight="14.25" x14ac:dyDescent="0.45"/>
  <cols>
    <col min="1" max="1" width="40.33203125" customWidth="1"/>
    <col min="2" max="2" width="16" customWidth="1"/>
    <col min="3" max="3" width="60.53125" customWidth="1"/>
  </cols>
  <sheetData>
    <row r="1" spans="1:3" x14ac:dyDescent="0.45">
      <c r="A1" s="1" t="s">
        <v>1295</v>
      </c>
      <c r="B1" s="1" t="s">
        <v>1296</v>
      </c>
      <c r="C1" s="1" t="s">
        <v>1297</v>
      </c>
    </row>
    <row r="2" spans="1:3" x14ac:dyDescent="0.45">
      <c r="A2" s="1" t="s">
        <v>1298</v>
      </c>
      <c r="B2" s="1">
        <v>11.28125</v>
      </c>
      <c r="C2" s="1" t="s">
        <v>1299</v>
      </c>
    </row>
    <row r="3" spans="1:3" x14ac:dyDescent="0.45">
      <c r="A3" s="1" t="s">
        <v>1300</v>
      </c>
      <c r="B3" s="1">
        <v>7.8293821789111905E-4</v>
      </c>
      <c r="C3" s="1" t="s">
        <v>1301</v>
      </c>
    </row>
    <row r="4" spans="1:3" x14ac:dyDescent="0.45">
      <c r="A4" s="1" t="s">
        <v>1302</v>
      </c>
      <c r="B4" s="1">
        <v>5.3505273535847696E-4</v>
      </c>
      <c r="C4" s="1" t="s">
        <v>1301</v>
      </c>
    </row>
    <row r="5" spans="1:3" x14ac:dyDescent="0.45">
      <c r="A5" s="1" t="s">
        <v>1303</v>
      </c>
      <c r="B5" s="1">
        <v>4.3333333333333304</v>
      </c>
      <c r="C5" s="1" t="s">
        <v>1304</v>
      </c>
    </row>
    <row r="6" spans="1:3" x14ac:dyDescent="0.45">
      <c r="A6" s="1" t="s">
        <v>1305</v>
      </c>
      <c r="B6" s="1">
        <v>0.78</v>
      </c>
      <c r="C6" s="1" t="s">
        <v>1306</v>
      </c>
    </row>
    <row r="7" spans="1:3" x14ac:dyDescent="0.45">
      <c r="A7" s="1" t="s">
        <v>1307</v>
      </c>
      <c r="B7" s="1">
        <v>-1.7064846416381702E-2</v>
      </c>
      <c r="C7" s="1" t="s">
        <v>1308</v>
      </c>
    </row>
    <row r="8" spans="1:3" x14ac:dyDescent="0.45">
      <c r="A8" s="1" t="s">
        <v>1309</v>
      </c>
      <c r="B8" s="1">
        <v>-0.13060061908598999</v>
      </c>
      <c r="C8" s="1" t="s">
        <v>1310</v>
      </c>
    </row>
    <row r="9" spans="1:3" x14ac:dyDescent="0.45">
      <c r="A9" s="1" t="s">
        <v>1311</v>
      </c>
      <c r="B9" s="1">
        <v>-0.13060061908598999</v>
      </c>
      <c r="C9" s="1" t="s">
        <v>1312</v>
      </c>
    </row>
    <row r="10" spans="1:3" x14ac:dyDescent="0.45">
      <c r="A10" s="1" t="s">
        <v>1313</v>
      </c>
      <c r="B10" s="1">
        <v>9.1224747474747492</v>
      </c>
      <c r="C10" s="1" t="s">
        <v>1314</v>
      </c>
    </row>
    <row r="11" spans="1:3" x14ac:dyDescent="0.45">
      <c r="A11" s="1" t="s">
        <v>1315</v>
      </c>
      <c r="B11" s="1">
        <v>2.5248816962949502E-3</v>
      </c>
      <c r="C11" s="1" t="s">
        <v>1316</v>
      </c>
    </row>
    <row r="12" spans="1:3" x14ac:dyDescent="0.45">
      <c r="A12" s="1" t="s">
        <v>1317</v>
      </c>
      <c r="B12" s="1">
        <v>0.14285714285714299</v>
      </c>
      <c r="C12" s="1" t="s">
        <v>1318</v>
      </c>
    </row>
    <row r="13" spans="1:3" x14ac:dyDescent="0.45">
      <c r="A13" s="1" t="s">
        <v>1319</v>
      </c>
      <c r="B13" s="1">
        <v>3.7037037037037E-2</v>
      </c>
      <c r="C13" s="1" t="s">
        <v>1320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74C44-429B-452C-92D1-DBF846F8CD92}">
  <dimension ref="A1:C5"/>
  <sheetViews>
    <sheetView workbookViewId="0">
      <selection activeCell="C11" sqref="C11"/>
    </sheetView>
  </sheetViews>
  <sheetFormatPr defaultRowHeight="14.25" x14ac:dyDescent="0.45"/>
  <cols>
    <col min="1" max="1" width="17.73046875" customWidth="1"/>
  </cols>
  <sheetData>
    <row r="1" spans="1:3" x14ac:dyDescent="0.45">
      <c r="A1" s="1" t="s">
        <v>1275</v>
      </c>
      <c r="B1" s="1" t="s">
        <v>1276</v>
      </c>
      <c r="C1" s="1" t="s">
        <v>1277</v>
      </c>
    </row>
    <row r="2" spans="1:3" x14ac:dyDescent="0.45">
      <c r="A2" s="1" t="s">
        <v>1278</v>
      </c>
      <c r="B2" s="1">
        <v>1</v>
      </c>
      <c r="C2" s="1">
        <v>0.66666666666666696</v>
      </c>
    </row>
    <row r="3" spans="1:3" x14ac:dyDescent="0.45">
      <c r="A3" s="1" t="s">
        <v>1279</v>
      </c>
      <c r="B3" s="1">
        <v>6</v>
      </c>
      <c r="C3" s="1">
        <v>4</v>
      </c>
    </row>
    <row r="4" spans="1:3" x14ac:dyDescent="0.45">
      <c r="A4" s="1" t="s">
        <v>1280</v>
      </c>
      <c r="B4" s="1">
        <v>26</v>
      </c>
      <c r="C4" s="1">
        <v>17.3333333333333</v>
      </c>
    </row>
    <row r="5" spans="1:3" x14ac:dyDescent="0.45">
      <c r="A5" s="1" t="s">
        <v>1281</v>
      </c>
      <c r="B5" s="1">
        <v>116</v>
      </c>
      <c r="C5" s="1">
        <v>77.3333333333333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62D14-AE70-4AA4-A07F-5263B57AF23F}">
  <dimension ref="A1:J3"/>
  <sheetViews>
    <sheetView workbookViewId="0">
      <selection sqref="A1:I3"/>
    </sheetView>
  </sheetViews>
  <sheetFormatPr defaultRowHeight="14.25" x14ac:dyDescent="0.45"/>
  <cols>
    <col min="2" max="2" width="15.3984375" customWidth="1"/>
    <col min="3" max="3" width="19.1328125" customWidth="1"/>
    <col min="4" max="4" width="15.73046875" customWidth="1"/>
    <col min="6" max="6" width="13.9296875" customWidth="1"/>
    <col min="7" max="7" width="15.73046875" customWidth="1"/>
    <col min="8" max="8" width="18.53125" customWidth="1"/>
    <col min="9" max="9" width="15.46484375" customWidth="1"/>
  </cols>
  <sheetData>
    <row r="1" spans="1:10" x14ac:dyDescent="0.45">
      <c r="A1" s="21" t="s">
        <v>1286</v>
      </c>
      <c r="B1" s="21" t="s">
        <v>1287</v>
      </c>
      <c r="C1" s="21" t="s">
        <v>1288</v>
      </c>
      <c r="D1" s="21" t="s">
        <v>1289</v>
      </c>
      <c r="E1" s="21" t="s">
        <v>1290</v>
      </c>
      <c r="F1" s="21" t="s">
        <v>1291</v>
      </c>
      <c r="G1" s="21" t="s">
        <v>1292</v>
      </c>
      <c r="H1" s="21" t="s">
        <v>1293</v>
      </c>
      <c r="I1" s="21" t="s">
        <v>1294</v>
      </c>
      <c r="J1" s="20"/>
    </row>
    <row r="2" spans="1:10" x14ac:dyDescent="0.45">
      <c r="A2" s="1" t="s">
        <v>1271</v>
      </c>
      <c r="B2" s="1">
        <v>0.06</v>
      </c>
      <c r="C2" s="1">
        <v>6</v>
      </c>
      <c r="D2" s="1">
        <v>9</v>
      </c>
      <c r="E2" s="1">
        <v>150</v>
      </c>
      <c r="F2" s="1">
        <v>2.7799977794455939E-2</v>
      </c>
      <c r="G2" s="1">
        <v>0.1108415200136255</v>
      </c>
      <c r="H2" s="1">
        <v>2.78</v>
      </c>
      <c r="I2" s="1">
        <v>11.08</v>
      </c>
    </row>
    <row r="3" spans="1:10" x14ac:dyDescent="0.45">
      <c r="A3" s="1" t="s">
        <v>1272</v>
      </c>
      <c r="B3" s="1">
        <v>0.18</v>
      </c>
      <c r="C3" s="1">
        <v>18</v>
      </c>
      <c r="D3" s="1">
        <v>27</v>
      </c>
      <c r="E3" s="1">
        <v>150</v>
      </c>
      <c r="F3" s="1">
        <v>0.1220996275776203</v>
      </c>
      <c r="G3" s="1">
        <v>0.25097789500601619</v>
      </c>
      <c r="H3" s="1">
        <v>12.21</v>
      </c>
      <c r="I3" s="1">
        <v>25.1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73014-2D07-4150-9C1D-01FB34497759}">
  <dimension ref="A1:D14"/>
  <sheetViews>
    <sheetView workbookViewId="0">
      <selection sqref="A1:B14"/>
    </sheetView>
  </sheetViews>
  <sheetFormatPr defaultRowHeight="14.25" x14ac:dyDescent="0.45"/>
  <cols>
    <col min="1" max="1" width="33.46484375" customWidth="1"/>
    <col min="4" max="4" width="9.06640625" customWidth="1"/>
  </cols>
  <sheetData>
    <row r="1" spans="1:4" x14ac:dyDescent="0.45">
      <c r="A1" s="21" t="s">
        <v>1321</v>
      </c>
      <c r="B1" s="21" t="s">
        <v>1296</v>
      </c>
      <c r="C1" s="20"/>
      <c r="D1" s="20"/>
    </row>
    <row r="2" spans="1:4" x14ac:dyDescent="0.45">
      <c r="A2" s="1" t="s">
        <v>1322</v>
      </c>
      <c r="B2" s="1">
        <v>150</v>
      </c>
    </row>
    <row r="3" spans="1:4" x14ac:dyDescent="0.45">
      <c r="A3" s="1" t="s">
        <v>1273</v>
      </c>
      <c r="B3" s="1">
        <v>8</v>
      </c>
    </row>
    <row r="4" spans="1:4" x14ac:dyDescent="0.45">
      <c r="A4" s="1" t="s">
        <v>1274</v>
      </c>
      <c r="B4" s="1">
        <v>27</v>
      </c>
    </row>
    <row r="5" spans="1:4" x14ac:dyDescent="0.45">
      <c r="A5" s="1" t="s">
        <v>1323</v>
      </c>
      <c r="B5" s="1">
        <v>5.3</v>
      </c>
    </row>
    <row r="6" spans="1:4" x14ac:dyDescent="0.45">
      <c r="A6" s="1" t="s">
        <v>1324</v>
      </c>
      <c r="B6" s="1">
        <v>18</v>
      </c>
    </row>
    <row r="7" spans="1:4" x14ac:dyDescent="0.45">
      <c r="A7" s="1" t="s">
        <v>1325</v>
      </c>
      <c r="B7" s="1">
        <v>1</v>
      </c>
    </row>
    <row r="8" spans="1:4" x14ac:dyDescent="0.45">
      <c r="A8" s="1" t="s">
        <v>1326</v>
      </c>
      <c r="B8" s="1">
        <v>7</v>
      </c>
    </row>
    <row r="9" spans="1:4" x14ac:dyDescent="0.45">
      <c r="A9" s="1" t="s">
        <v>1327</v>
      </c>
      <c r="B9" s="1">
        <v>26</v>
      </c>
    </row>
    <row r="10" spans="1:4" x14ac:dyDescent="0.45">
      <c r="A10" s="1" t="s">
        <v>1328</v>
      </c>
      <c r="B10" s="1">
        <v>116</v>
      </c>
    </row>
    <row r="11" spans="1:4" x14ac:dyDescent="0.45">
      <c r="A11" s="1" t="s">
        <v>1329</v>
      </c>
      <c r="B11" s="1">
        <v>78</v>
      </c>
    </row>
    <row r="12" spans="1:4" x14ac:dyDescent="0.45">
      <c r="A12" s="1" t="s">
        <v>1330</v>
      </c>
      <c r="B12" s="1">
        <v>2.9</v>
      </c>
    </row>
    <row r="13" spans="1:4" x14ac:dyDescent="0.45">
      <c r="A13" s="1" t="s">
        <v>1331</v>
      </c>
      <c r="B13" s="1">
        <v>12.5</v>
      </c>
    </row>
    <row r="14" spans="1:4" x14ac:dyDescent="0.45">
      <c r="A14" s="1" t="s">
        <v>1332</v>
      </c>
      <c r="B14" s="1">
        <v>3.7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1A9D-9B4E-4059-9E38-45A04E50BCFF}">
  <dimension ref="A1:E5"/>
  <sheetViews>
    <sheetView zoomScaleNormal="100" workbookViewId="0">
      <selection activeCell="P11" sqref="P11"/>
    </sheetView>
  </sheetViews>
  <sheetFormatPr defaultRowHeight="14.25" x14ac:dyDescent="0.45"/>
  <cols>
    <col min="1" max="1" width="27.796875" customWidth="1"/>
    <col min="3" max="3" width="21" customWidth="1"/>
    <col min="4" max="4" width="30" customWidth="1"/>
  </cols>
  <sheetData>
    <row r="1" spans="1:5" x14ac:dyDescent="0.45">
      <c r="A1" s="21" t="s">
        <v>1275</v>
      </c>
      <c r="B1" s="21" t="s">
        <v>1276</v>
      </c>
      <c r="C1" s="21" t="s">
        <v>1277</v>
      </c>
      <c r="D1" s="21" t="s">
        <v>1333</v>
      </c>
      <c r="E1" s="20"/>
    </row>
    <row r="2" spans="1:5" x14ac:dyDescent="0.45">
      <c r="A2" s="1" t="s">
        <v>1334</v>
      </c>
      <c r="B2" s="1">
        <v>1</v>
      </c>
      <c r="C2" s="1">
        <v>0.66666666666666674</v>
      </c>
      <c r="D2" s="1" t="s">
        <v>1335</v>
      </c>
    </row>
    <row r="3" spans="1:5" x14ac:dyDescent="0.45">
      <c r="A3" s="1" t="s">
        <v>1336</v>
      </c>
      <c r="B3" s="1">
        <v>8</v>
      </c>
      <c r="C3" s="1">
        <v>4.666666666666667</v>
      </c>
      <c r="D3" s="1" t="s">
        <v>1337</v>
      </c>
    </row>
    <row r="4" spans="1:5" x14ac:dyDescent="0.45">
      <c r="A4" s="1" t="s">
        <v>1338</v>
      </c>
      <c r="B4" s="1">
        <v>26</v>
      </c>
      <c r="C4" s="1">
        <v>17.333333333333339</v>
      </c>
      <c r="D4" s="1" t="s">
        <v>1339</v>
      </c>
    </row>
    <row r="5" spans="1:5" x14ac:dyDescent="0.45">
      <c r="A5" s="1" t="s">
        <v>1340</v>
      </c>
      <c r="B5" s="1">
        <v>116</v>
      </c>
      <c r="C5" s="1">
        <v>77.333333333333329</v>
      </c>
      <c r="D5" s="1" t="s">
        <v>1341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7041D-A23F-495A-A572-82C9C47B5E32}">
  <dimension ref="A1:K22"/>
  <sheetViews>
    <sheetView topLeftCell="A13" workbookViewId="0">
      <selection sqref="A1:G17"/>
    </sheetView>
  </sheetViews>
  <sheetFormatPr defaultRowHeight="14.25" x14ac:dyDescent="0.45"/>
  <cols>
    <col min="1" max="1" width="22.73046875" customWidth="1"/>
    <col min="2" max="2" width="17.86328125" customWidth="1"/>
    <col min="3" max="3" width="12.33203125" customWidth="1"/>
    <col min="4" max="4" width="18.46484375" customWidth="1"/>
    <col min="5" max="5" width="16.46484375" customWidth="1"/>
    <col min="6" max="6" width="18.19921875" customWidth="1"/>
    <col min="7" max="7" width="11.59765625" customWidth="1"/>
    <col min="10" max="10" width="18.9296875" customWidth="1"/>
    <col min="11" max="11" width="9.06640625" customWidth="1"/>
  </cols>
  <sheetData>
    <row r="1" spans="1:9" x14ac:dyDescent="0.45">
      <c r="A1" s="21" t="s">
        <v>1342</v>
      </c>
      <c r="B1" s="21" t="s">
        <v>1343</v>
      </c>
      <c r="C1" s="21" t="s">
        <v>1290</v>
      </c>
      <c r="D1" s="21" t="s">
        <v>1344</v>
      </c>
      <c r="E1" s="21" t="s">
        <v>1345</v>
      </c>
      <c r="F1" s="21" t="s">
        <v>1346</v>
      </c>
      <c r="G1" s="21" t="s">
        <v>1347</v>
      </c>
      <c r="H1" s="20"/>
      <c r="I1" s="20"/>
    </row>
    <row r="2" spans="1:9" x14ac:dyDescent="0.45">
      <c r="A2" s="1" t="s">
        <v>1348</v>
      </c>
      <c r="B2" s="1" t="s">
        <v>1349</v>
      </c>
      <c r="C2" s="1">
        <v>50</v>
      </c>
      <c r="D2" s="1">
        <v>0</v>
      </c>
      <c r="E2" s="1">
        <v>0</v>
      </c>
      <c r="F2" s="1">
        <v>5</v>
      </c>
      <c r="G2" s="1">
        <v>10</v>
      </c>
    </row>
    <row r="3" spans="1:9" x14ac:dyDescent="0.45">
      <c r="A3" s="1" t="s">
        <v>1348</v>
      </c>
      <c r="B3" s="1" t="s">
        <v>1350</v>
      </c>
      <c r="C3" s="1">
        <v>34</v>
      </c>
      <c r="D3" s="1">
        <v>1</v>
      </c>
      <c r="E3" s="1">
        <v>2.9</v>
      </c>
      <c r="F3" s="1">
        <v>10</v>
      </c>
      <c r="G3" s="1">
        <v>29.4</v>
      </c>
    </row>
    <row r="4" spans="1:9" x14ac:dyDescent="0.45">
      <c r="A4" s="1" t="s">
        <v>1348</v>
      </c>
      <c r="B4" s="1" t="s">
        <v>1351</v>
      </c>
      <c r="C4" s="1">
        <v>30</v>
      </c>
      <c r="D4" s="1">
        <v>3</v>
      </c>
      <c r="E4" s="1">
        <v>10</v>
      </c>
      <c r="F4" s="1">
        <v>7</v>
      </c>
      <c r="G4" s="1">
        <v>23.3</v>
      </c>
    </row>
    <row r="5" spans="1:9" x14ac:dyDescent="0.45">
      <c r="A5" s="1" t="s">
        <v>1348</v>
      </c>
      <c r="B5" s="1" t="s">
        <v>1352</v>
      </c>
      <c r="C5" s="1">
        <v>36</v>
      </c>
      <c r="D5" s="1">
        <v>4</v>
      </c>
      <c r="E5" s="1">
        <v>11.1</v>
      </c>
      <c r="F5" s="1">
        <v>5</v>
      </c>
      <c r="G5" s="1">
        <v>13.9</v>
      </c>
    </row>
    <row r="6" spans="1:9" x14ac:dyDescent="0.45">
      <c r="A6" s="1" t="s">
        <v>1353</v>
      </c>
      <c r="B6" s="1" t="s">
        <v>1354</v>
      </c>
      <c r="C6" s="1">
        <v>39</v>
      </c>
      <c r="D6" s="1">
        <v>5</v>
      </c>
      <c r="E6" s="1">
        <v>12.8</v>
      </c>
      <c r="F6" s="1">
        <v>4</v>
      </c>
      <c r="G6" s="1">
        <v>10.3</v>
      </c>
    </row>
    <row r="7" spans="1:9" x14ac:dyDescent="0.45">
      <c r="A7" s="1" t="s">
        <v>1353</v>
      </c>
      <c r="B7" s="1" t="s">
        <v>1355</v>
      </c>
      <c r="C7" s="1">
        <v>40</v>
      </c>
      <c r="D7" s="1">
        <v>1</v>
      </c>
      <c r="E7" s="1">
        <v>2.5</v>
      </c>
      <c r="F7" s="1">
        <v>14</v>
      </c>
      <c r="G7" s="1">
        <v>35</v>
      </c>
    </row>
    <row r="8" spans="1:9" x14ac:dyDescent="0.45">
      <c r="A8" s="1" t="s">
        <v>1353</v>
      </c>
      <c r="B8" s="1" t="s">
        <v>1356</v>
      </c>
      <c r="C8" s="1">
        <v>33</v>
      </c>
      <c r="D8" s="1">
        <v>2</v>
      </c>
      <c r="E8" s="1">
        <v>6.1</v>
      </c>
      <c r="F8" s="1">
        <v>4</v>
      </c>
      <c r="G8" s="1">
        <v>12.1</v>
      </c>
    </row>
    <row r="9" spans="1:9" x14ac:dyDescent="0.45">
      <c r="A9" s="1" t="s">
        <v>1353</v>
      </c>
      <c r="B9" s="1" t="s">
        <v>1357</v>
      </c>
      <c r="C9" s="1">
        <v>38</v>
      </c>
      <c r="D9" s="1">
        <v>0</v>
      </c>
      <c r="E9" s="1">
        <v>0</v>
      </c>
      <c r="F9" s="1">
        <v>5</v>
      </c>
      <c r="G9" s="1">
        <v>13.2</v>
      </c>
    </row>
    <row r="10" spans="1:9" x14ac:dyDescent="0.45">
      <c r="A10" s="1" t="s">
        <v>1358</v>
      </c>
      <c r="B10" s="1" t="s">
        <v>1359</v>
      </c>
      <c r="C10" s="1">
        <v>107</v>
      </c>
      <c r="D10" s="1">
        <v>7</v>
      </c>
      <c r="E10" s="1">
        <v>6.5</v>
      </c>
      <c r="F10" s="1">
        <v>21</v>
      </c>
      <c r="G10" s="1">
        <v>19.600000000000001</v>
      </c>
    </row>
    <row r="11" spans="1:9" x14ac:dyDescent="0.45">
      <c r="A11" s="1" t="s">
        <v>1358</v>
      </c>
      <c r="B11" s="1" t="s">
        <v>1360</v>
      </c>
      <c r="C11" s="1">
        <v>42</v>
      </c>
      <c r="D11" s="1">
        <v>0</v>
      </c>
      <c r="E11" s="1">
        <v>0</v>
      </c>
      <c r="F11" s="1">
        <v>6</v>
      </c>
      <c r="G11" s="1">
        <v>14.3</v>
      </c>
    </row>
    <row r="12" spans="1:9" x14ac:dyDescent="0.45">
      <c r="A12" s="1" t="s">
        <v>1358</v>
      </c>
      <c r="B12" s="1" t="s">
        <v>1361</v>
      </c>
      <c r="C12" s="1">
        <v>1</v>
      </c>
      <c r="D12" s="1">
        <v>1</v>
      </c>
      <c r="E12" s="1">
        <v>100</v>
      </c>
      <c r="F12" s="1">
        <v>0</v>
      </c>
      <c r="G12" s="1">
        <v>0</v>
      </c>
    </row>
    <row r="13" spans="1:9" x14ac:dyDescent="0.45">
      <c r="A13" s="1" t="s">
        <v>1362</v>
      </c>
      <c r="B13" s="1" t="s">
        <v>1359</v>
      </c>
      <c r="C13" s="1">
        <v>40</v>
      </c>
      <c r="D13" s="1">
        <v>2</v>
      </c>
      <c r="E13" s="1">
        <v>5</v>
      </c>
      <c r="F13" s="1">
        <v>12</v>
      </c>
      <c r="G13" s="1">
        <v>30</v>
      </c>
    </row>
    <row r="14" spans="1:9" x14ac:dyDescent="0.45">
      <c r="A14" s="1" t="s">
        <v>1362</v>
      </c>
      <c r="B14" s="1" t="s">
        <v>1360</v>
      </c>
      <c r="C14" s="1">
        <v>110</v>
      </c>
      <c r="D14" s="1">
        <v>6</v>
      </c>
      <c r="E14" s="1">
        <v>5.5</v>
      </c>
      <c r="F14" s="1">
        <v>15</v>
      </c>
      <c r="G14" s="1">
        <v>13.6</v>
      </c>
    </row>
    <row r="15" spans="1:9" x14ac:dyDescent="0.45">
      <c r="A15" s="1" t="s">
        <v>1363</v>
      </c>
      <c r="B15" s="1" t="s">
        <v>1359</v>
      </c>
      <c r="C15" s="1">
        <v>117</v>
      </c>
      <c r="D15" s="1">
        <v>6</v>
      </c>
      <c r="E15" s="1">
        <v>5.0999999999999996</v>
      </c>
      <c r="F15" s="1">
        <v>20</v>
      </c>
      <c r="G15" s="1">
        <v>17.100000000000001</v>
      </c>
    </row>
    <row r="16" spans="1:9" x14ac:dyDescent="0.45">
      <c r="A16" s="1" t="s">
        <v>1363</v>
      </c>
      <c r="B16" s="1" t="s">
        <v>1360</v>
      </c>
      <c r="C16" s="1">
        <v>32</v>
      </c>
      <c r="D16" s="1">
        <v>1</v>
      </c>
      <c r="E16" s="1">
        <v>3.1</v>
      </c>
      <c r="F16" s="1">
        <v>7</v>
      </c>
      <c r="G16" s="1">
        <v>21.9</v>
      </c>
    </row>
    <row r="17" spans="1:11" x14ac:dyDescent="0.45">
      <c r="A17" s="1" t="s">
        <v>1363</v>
      </c>
      <c r="B17" s="1" t="s">
        <v>1361</v>
      </c>
      <c r="C17" s="1">
        <v>1</v>
      </c>
      <c r="D17" s="1">
        <v>1</v>
      </c>
      <c r="E17" s="1">
        <v>100</v>
      </c>
      <c r="F17" s="1">
        <v>0</v>
      </c>
      <c r="G17" s="1">
        <v>0</v>
      </c>
    </row>
    <row r="20" spans="1:11" x14ac:dyDescent="0.45">
      <c r="A20" t="s">
        <v>173</v>
      </c>
      <c r="B20" t="s">
        <v>1368</v>
      </c>
      <c r="C20" t="s">
        <v>1369</v>
      </c>
      <c r="E20" t="s">
        <v>173</v>
      </c>
      <c r="F20" t="s">
        <v>1372</v>
      </c>
      <c r="G20" t="s">
        <v>1373</v>
      </c>
      <c r="J20" t="s">
        <v>1374</v>
      </c>
      <c r="K20" t="s">
        <v>1375</v>
      </c>
    </row>
    <row r="21" spans="1:11" x14ac:dyDescent="0.45">
      <c r="A21" t="s">
        <v>1370</v>
      </c>
      <c r="B21">
        <v>6.5</v>
      </c>
      <c r="C21">
        <v>0</v>
      </c>
      <c r="E21" t="s">
        <v>1370</v>
      </c>
      <c r="F21">
        <v>5.5</v>
      </c>
      <c r="G21">
        <v>5</v>
      </c>
      <c r="I21" t="s">
        <v>1370</v>
      </c>
      <c r="J21">
        <v>3.1</v>
      </c>
      <c r="K21">
        <v>5.0999999999999996</v>
      </c>
    </row>
    <row r="22" spans="1:11" x14ac:dyDescent="0.45">
      <c r="A22" t="s">
        <v>1371</v>
      </c>
      <c r="B22">
        <v>19.600000000000001</v>
      </c>
      <c r="C22">
        <v>14.4</v>
      </c>
      <c r="E22" t="s">
        <v>1371</v>
      </c>
      <c r="F22">
        <v>13.6</v>
      </c>
      <c r="G22">
        <v>30</v>
      </c>
      <c r="I22" t="s">
        <v>1371</v>
      </c>
      <c r="J22">
        <v>21.9</v>
      </c>
      <c r="K22">
        <v>17.100000000000001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8D7FC-DB21-49BD-B417-403FD8D6AE9A}">
  <dimension ref="A1:H8"/>
  <sheetViews>
    <sheetView workbookViewId="0">
      <selection sqref="A1:G8"/>
    </sheetView>
  </sheetViews>
  <sheetFormatPr defaultRowHeight="14.25" x14ac:dyDescent="0.45"/>
  <cols>
    <col min="1" max="1" width="16.46484375" customWidth="1"/>
    <col min="2" max="2" width="15.46484375" customWidth="1"/>
    <col min="3" max="3" width="15.1328125" customWidth="1"/>
    <col min="5" max="5" width="17.46484375" customWidth="1"/>
    <col min="6" max="6" width="13.6640625" customWidth="1"/>
  </cols>
  <sheetData>
    <row r="1" spans="1:8" x14ac:dyDescent="0.45">
      <c r="A1" s="21" t="s">
        <v>1364</v>
      </c>
      <c r="B1" s="21" t="s">
        <v>1365</v>
      </c>
      <c r="C1" s="21" t="s">
        <v>1366</v>
      </c>
      <c r="D1" s="21" t="s">
        <v>760</v>
      </c>
      <c r="E1" s="21" t="s">
        <v>765</v>
      </c>
      <c r="F1" s="21" t="s">
        <v>766</v>
      </c>
      <c r="G1" s="21" t="s">
        <v>1367</v>
      </c>
      <c r="H1" s="20"/>
    </row>
    <row r="2" spans="1:8" x14ac:dyDescent="0.45">
      <c r="A2" s="1">
        <v>1</v>
      </c>
      <c r="B2" s="1">
        <v>-0.03</v>
      </c>
      <c r="C2" s="1">
        <v>0.21</v>
      </c>
      <c r="D2" s="1">
        <v>-0.19</v>
      </c>
      <c r="E2" s="1">
        <v>-0.02</v>
      </c>
      <c r="F2" s="1">
        <v>0.01</v>
      </c>
      <c r="G2" s="1">
        <v>0.08</v>
      </c>
    </row>
    <row r="3" spans="1:8" x14ac:dyDescent="0.45">
      <c r="A3" s="1">
        <v>-0.03</v>
      </c>
      <c r="B3" s="1">
        <v>1</v>
      </c>
      <c r="C3" s="1">
        <v>0.01</v>
      </c>
      <c r="D3" s="1">
        <v>-0.04</v>
      </c>
      <c r="E3" s="1">
        <v>-7.0000000000000007E-2</v>
      </c>
      <c r="F3" s="1">
        <v>-0.19</v>
      </c>
      <c r="G3" s="1">
        <v>0.04</v>
      </c>
    </row>
    <row r="4" spans="1:8" x14ac:dyDescent="0.45">
      <c r="A4" s="1">
        <v>0.21</v>
      </c>
      <c r="B4" s="1">
        <v>0.01</v>
      </c>
      <c r="C4" s="1">
        <v>1</v>
      </c>
      <c r="D4" s="1">
        <v>-0.87</v>
      </c>
      <c r="E4" s="1">
        <v>-0.65</v>
      </c>
      <c r="F4" s="1">
        <v>0.03</v>
      </c>
      <c r="G4" s="1">
        <v>-0.05</v>
      </c>
    </row>
    <row r="5" spans="1:8" x14ac:dyDescent="0.45">
      <c r="A5" s="1">
        <v>-0.19</v>
      </c>
      <c r="B5" s="1">
        <v>-0.04</v>
      </c>
      <c r="C5" s="1">
        <v>-0.87</v>
      </c>
      <c r="D5" s="1">
        <v>1</v>
      </c>
      <c r="E5" s="1">
        <v>0.71</v>
      </c>
      <c r="F5" s="1">
        <v>0.1</v>
      </c>
      <c r="G5" s="1">
        <v>-0.03</v>
      </c>
    </row>
    <row r="6" spans="1:8" x14ac:dyDescent="0.45">
      <c r="A6" s="1">
        <v>-0.02</v>
      </c>
      <c r="B6" s="1">
        <v>-7.0000000000000007E-2</v>
      </c>
      <c r="C6" s="1">
        <v>-0.65</v>
      </c>
      <c r="D6" s="1">
        <v>0.71</v>
      </c>
      <c r="E6" s="1">
        <v>1</v>
      </c>
      <c r="F6" s="1">
        <v>0.28000000000000003</v>
      </c>
      <c r="G6" s="1">
        <v>0.13</v>
      </c>
    </row>
    <row r="7" spans="1:8" x14ac:dyDescent="0.45">
      <c r="A7" s="1">
        <v>0.01</v>
      </c>
      <c r="B7" s="1">
        <v>-0.19</v>
      </c>
      <c r="C7" s="1">
        <v>0.03</v>
      </c>
      <c r="D7" s="1">
        <v>0.1</v>
      </c>
      <c r="E7" s="1">
        <v>0.28000000000000003</v>
      </c>
      <c r="F7" s="1">
        <v>1</v>
      </c>
      <c r="G7" s="1">
        <v>0.04</v>
      </c>
    </row>
    <row r="8" spans="1:8" x14ac:dyDescent="0.45">
      <c r="A8" s="1">
        <v>0.08</v>
      </c>
      <c r="B8" s="1">
        <v>0.04</v>
      </c>
      <c r="C8" s="1">
        <v>-0.05</v>
      </c>
      <c r="D8" s="1">
        <v>-0.03</v>
      </c>
      <c r="E8" s="1">
        <v>0.13</v>
      </c>
      <c r="F8" s="1">
        <v>0.04</v>
      </c>
      <c r="G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Proposed fieldwork sites</vt:lpstr>
      <vt:lpstr>Raw boat data</vt:lpstr>
      <vt:lpstr>Drop camera results</vt:lpstr>
      <vt:lpstr>Plate config</vt:lpstr>
      <vt:lpstr>Text Results</vt:lpstr>
      <vt:lpstr>Test 2</vt:lpstr>
      <vt:lpstr>Plate 1</vt:lpstr>
      <vt:lpstr>Sheet2</vt:lpstr>
      <vt:lpstr>Sheet3</vt:lpstr>
      <vt:lpstr>Plate 2</vt:lpstr>
      <vt:lpstr>Plate 3</vt:lpstr>
      <vt:lpstr>Plate 4</vt:lpstr>
      <vt:lpstr>Plate 5</vt:lpstr>
      <vt:lpstr>Plate 6</vt:lpstr>
      <vt:lpstr>Master Data</vt:lpstr>
      <vt:lpstr>Sheet5</vt:lpstr>
      <vt:lpstr>Sheet4</vt:lpstr>
      <vt:lpstr>Sheet1</vt:lpstr>
      <vt:lpstr>Raw site data</vt:lpstr>
      <vt:lpstr>Statistical tests</vt:lpstr>
      <vt:lpstr>Contingency table</vt:lpstr>
      <vt:lpstr>Sea star detection analysis</vt:lpstr>
      <vt:lpstr>DEt3ection summary</vt:lpstr>
      <vt:lpstr>Detection agreement</vt:lpstr>
      <vt:lpstr>Environmental effects</vt:lpstr>
      <vt:lpstr>Correalation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pensak</dc:creator>
  <cp:lastModifiedBy>richard pensak</cp:lastModifiedBy>
  <dcterms:created xsi:type="dcterms:W3CDTF">2025-04-15T03:21:48Z</dcterms:created>
  <dcterms:modified xsi:type="dcterms:W3CDTF">2025-11-04T08:34:12Z</dcterms:modified>
</cp:coreProperties>
</file>